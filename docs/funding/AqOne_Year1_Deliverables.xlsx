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liverables" sheetId="2" state="visible" r:id="rId4"/>
    <sheet name="Calendar" sheetId="3" state="visible" r:id="rId5"/>
    <sheet name="Gantt" sheetId="4" state="visible" r:id="rId6"/>
    <sheet name="Monthly Ops" sheetId="5" state="visible" r:id="rId7"/>
    <sheet name="Ga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<sst xmlns="http://schemas.openxmlformats.org/spreadsheetml/2006/main" count="552" uniqueCount="363">
  <si>
    <t xml:space="preserve">AqOne Year 1 Plan: DOST-Funded Pilot Deliverables</t>
  </si>
  <si>
    <t xml:space="preserve">What we deliver in the 12-month DOST grant period, when, who owns it, and how we prove it. All dates follow the start date below.</t>
  </si>
  <si>
    <t xml:space="preserve">Status</t>
  </si>
  <si>
    <t xml:space="preserve">DRAFT (for team and ASU review)</t>
  </si>
  <si>
    <t xml:space="preserve">Owner</t>
  </si>
  <si>
    <t xml:space="preserve">Aquanons (Lenard, lead student researcher)</t>
  </si>
  <si>
    <t xml:space="preserve">Created / Updated</t>
  </si>
  <si>
    <t xml:space="preserve">2026-09-30</t>
  </si>
  <si>
    <t xml:space="preserve">Related</t>
  </si>
  <si>
    <t xml:space="preserve">docs/funding/Aquanons_Master_Budget.xlsx, AqOne_Investor_Model.xlsx, AqOne_Handoff_Doreen.md</t>
  </si>
  <si>
    <t xml:space="preserve">PROJECT DATES</t>
  </si>
  <si>
    <t xml:space="preserve">Official DOST start date (Month 1)</t>
  </si>
  <si>
    <t xml:space="preserve">ASSUMPTION: January 2027. Change this cell when DOST confirms; every date in the workbook updates.</t>
  </si>
  <si>
    <t xml:space="preserve">End of grant period (Month 12)</t>
  </si>
  <si>
    <t xml:space="preserve">Grant length</t>
  </si>
  <si>
    <t xml:space="preserve">12 months</t>
  </si>
  <si>
    <t xml:space="preserve">Grant amount requested</t>
  </si>
  <si>
    <t xml:space="preserve">From Aquanons_Master_Budget.xlsx (28 Sep 2026).</t>
  </si>
  <si>
    <t xml:space="preserve">THREE PHASES</t>
  </si>
  <si>
    <t xml:space="preserve">Phase</t>
  </si>
  <si>
    <t xml:space="preserve">Starts</t>
  </si>
  <si>
    <t xml:space="preserve">Ends</t>
  </si>
  <si>
    <t xml:space="preserve">Goal</t>
  </si>
  <si>
    <t xml:space="preserve">1. Set up and build</t>
  </si>
  <si>
    <t xml:space="preserve">Agreements signed, hardware bought, firmware, app and dashboard ready, all devices assembled and bench-tested.</t>
  </si>
  <si>
    <t xml:space="preserve">2. Deploy and commission</t>
  </si>
  <si>
    <t xml:space="preserve">Coverage measured, gateways and buoys installed, 20 boats onboarded, SOS acceptance test passed (go-live).</t>
  </si>
  <si>
    <t xml:space="preserve">3. Operate and evaluate</t>
  </si>
  <si>
    <t xml:space="preserve">At least 6 months of supported SOS operation, cost and AI evaluation, Year 2 commitment, final report and handover.</t>
  </si>
  <si>
    <t xml:space="preserve">GATES: STOP-AND-CHECK POINTS</t>
  </si>
  <si>
    <t xml:space="preserve">Gate</t>
  </si>
  <si>
    <t xml:space="preserve">Deadline</t>
  </si>
  <si>
    <t xml:space="preserve">Decided by</t>
  </si>
  <si>
    <t xml:space="preserve">If not met</t>
  </si>
  <si>
    <t xml:space="preserve">G1 Go/no-go on LGU agreement (D4)</t>
  </si>
  <si>
    <t xml:space="preserve">Faculty leader + Lenard</t>
  </si>
  <si>
    <t xml:space="preserve">Switch to plan B: ASU-arranged boats, buoys and gateway sites, before installation.</t>
  </si>
  <si>
    <t xml:space="preserve">G2 Go-live: SOS acceptance test (D13)</t>
  </si>
  <si>
    <t xml:space="preserve">Faculty leader, MDRRMO, Lenard</t>
  </si>
  <si>
    <t xml:space="preserve">Do not go live. Fix, re-test within 4 weeks, and shorten Phase 3 accordingly.</t>
  </si>
  <si>
    <t xml:space="preserve">G3 Investor Milestone 1 (D13, D14, D17, D20)</t>
  </si>
  <si>
    <t xml:space="preserve">Investor, from DOST/ASU reports and logs</t>
  </si>
  <si>
    <t xml:space="preserve">Investor may decline tranche 1 (₱3M). See the Gates sheet.</t>
  </si>
  <si>
    <t xml:space="preserve">TEAM AND OWNERSHIP</t>
  </si>
  <si>
    <t xml:space="preserve">Person</t>
  </si>
  <si>
    <t xml:space="preserve">Role</t>
  </si>
  <si>
    <t xml:space="preserve">Hours/week</t>
  </si>
  <si>
    <t xml:space="preserve">Owns in Year 1</t>
  </si>
  <si>
    <t xml:space="preserve">Lenard</t>
  </si>
  <si>
    <t xml:space="preserve">Lead student researcher: backend, architecture, deployment</t>
  </si>
  <si>
    <t xml:space="preserve">D1, D13 (with Daniel), D14 system side, D19, reports with the faculty leader</t>
  </si>
  <si>
    <t xml:space="preserve">Daniel</t>
  </si>
  <si>
    <t xml:space="preserve">Hardware and buoy firmware</t>
  </si>
  <si>
    <t xml:space="preserve">D2, D5, D8, D9, D11, D14 upkeep (hardware maintenance lead)</t>
  </si>
  <si>
    <t xml:space="preserve">Jade</t>
  </si>
  <si>
    <t xml:space="preserve">Flutter application</t>
  </si>
  <si>
    <t xml:space="preserve">D6, app support in D10 and D12</t>
  </si>
  <si>
    <t xml:space="preserve">Arnold</t>
  </si>
  <si>
    <t xml:space="preserve">Website dashboard</t>
  </si>
  <si>
    <t xml:space="preserve">D7, MDRRMO operator accounts and training</t>
  </si>
  <si>
    <t xml:space="preserve">Doreen Kay</t>
  </si>
  <si>
    <t xml:space="preserve">Pitching, company branding, business direction</t>
  </si>
  <si>
    <t xml:space="preserve">D3, D4, D10, D12, D15-D18, D20, financial reporting</t>
  </si>
  <si>
    <t xml:space="preserve">KC Condes</t>
  </si>
  <si>
    <t xml:space="preserve">Pitching and business development support</t>
  </si>
  <si>
    <t xml:space="preserve">D4, D10, D12, D16, D20</t>
  </si>
  <si>
    <t xml:space="preserve">Faculty project leader (to be named)</t>
  </si>
  <si>
    <t xml:space="preserve">Official DOST project leader</t>
  </si>
  <si>
    <t xml:space="preserve">Approvals, procurement, gates G1 and G2, quarterly reports</t>
  </si>
  <si>
    <t xml:space="preserve">HOW TO USE</t>
  </si>
  <si>
    <t xml:space="preserve">Deliverables: one row per deliverable with its deadline, owner, pass/fail test and proof. Update Status and Date done as work finishes.</t>
  </si>
  <si>
    <t xml:space="preserve">Calendar: week-by-week activities for all 12 months, with the deliverable each one feeds.</t>
  </si>
  <si>
    <t xml:space="preserve">Gantt: the same work as bars across the 12 months.</t>
  </si>
  <si>
    <t xml:space="preserve">Monthly Ops: during months 7-12, type the actual numbers; the sheet shows PASS or FAIL against the targets.</t>
  </si>
  <si>
    <t xml:space="preserve">Gates: the three stop-and-check points and which deliverables each one needs.</t>
  </si>
  <si>
    <t xml:space="preserve">Yellow cells are inputs. Weather note: with a January start, installation (months 4-5) lands before the southwest monsoon and typhoon months (about June to October).</t>
  </si>
  <si>
    <t xml:space="preserve">Deliverables Register</t>
  </si>
  <si>
    <t xml:space="preserve">Deadline = end of the due month. 'Starts' is when work begins. Change Status and Date done as work finishes.</t>
  </si>
  <si>
    <t xml:space="preserve">ID</t>
  </si>
  <si>
    <t xml:space="preserve">Deliverable</t>
  </si>
  <si>
    <t xml:space="preserve">Starts (M)</t>
  </si>
  <si>
    <t xml:space="preserve">Due (M)</t>
  </si>
  <si>
    <t xml:space="preserve">Due date</t>
  </si>
  <si>
    <t xml:space="preserve">Done when (pass/fail test)</t>
  </si>
  <si>
    <t xml:space="preserve">Proof</t>
  </si>
  <si>
    <t xml:space="preserve">Gate / milestone</t>
  </si>
  <si>
    <t xml:space="preserve">Date done</t>
  </si>
  <si>
    <t xml:space="preserve">Notes</t>
  </si>
  <si>
    <t xml:space="preserve">D1</t>
  </si>
  <si>
    <t xml:space="preserve">Backend moved to paid Render plan</t>
  </si>
  <si>
    <t xml:space="preserve">Paid database with backups live; staging copy live; uptime monitor on; one backup restore tested.</t>
  </si>
  <si>
    <t xml:space="preserve">Render invoice, restore log</t>
  </si>
  <si>
    <t xml:space="preserve">Not started</t>
  </si>
  <si>
    <t xml:space="preserve">D2</t>
  </si>
  <si>
    <t xml:space="preserve">All pilot hardware ordered</t>
  </si>
  <si>
    <t xml:space="preserve">Daniel + faculty leader</t>
  </si>
  <si>
    <t xml:space="preserve">Every B.1 item ordered through ASU procurement, with quotations attached.</t>
  </si>
  <si>
    <t xml:space="preserve">Purchase orders, quotations</t>
  </si>
  <si>
    <t xml:space="preserve">D3</t>
  </si>
  <si>
    <t xml:space="preserve">Fisher consent form and privacy notice</t>
  </si>
  <si>
    <t xml:space="preserve">Doreen</t>
  </si>
  <si>
    <t xml:space="preserve">Consent form and privacy notice approved by the faculty leader, in English and Aklanon.</t>
  </si>
  <si>
    <t xml:space="preserve">Approved forms</t>
  </si>
  <si>
    <t xml:space="preserve">D4</t>
  </si>
  <si>
    <t xml:space="preserve">LGU agreement and MDRRMO commitment</t>
  </si>
  <si>
    <t xml:space="preserve">Doreen, KC + faculty leader</t>
  </si>
  <si>
    <t xml:space="preserve">Signed MOA or LOI covering host buoys, boat access, 2 gateway sites and permits; MDRRMO agrees to monitor alerts and run drills.</t>
  </si>
  <si>
    <t xml:space="preserve">Signed documents</t>
  </si>
  <si>
    <t xml:space="preserve">G1</t>
  </si>
  <si>
    <t xml:space="preserve">D5</t>
  </si>
  <si>
    <t xml:space="preserve">Firmware running on RAK boards</t>
  </si>
  <si>
    <t xml:space="preserve">100 of 100 bench SOS messages delivered pod → gateway → dashboard; pod battery lasts at least 48 h; recharge time measured.</t>
  </si>
  <si>
    <t xml:space="preserve">Bench test log</t>
  </si>
  <si>
    <t xml:space="preserve">D6</t>
  </si>
  <si>
    <t xml:space="preserve">Android app ready (Google Play closed testing)</t>
  </si>
  <si>
    <t xml:space="preserve">SOS works through pod Wi-Fi with no internet; English, Filipino and Aklanon; runs on 5 low-end phones.</t>
  </si>
  <si>
    <t xml:space="preserve">Play Console listing, phone test sheet</t>
  </si>
  <si>
    <t xml:space="preserve">D7</t>
  </si>
  <si>
    <t xml:space="preserve">MDRRMO dashboard ready</t>
  </si>
  <si>
    <t xml:space="preserve">Operator receives and acknowledges a test SOS within 2 minutes; buoy, gateway and pod health visible.</t>
  </si>
  <si>
    <t xml:space="preserve">Screen recording</t>
  </si>
  <si>
    <t xml:space="preserve">D8</t>
  </si>
  <si>
    <t xml:space="preserve">All devices assembled and bench-tested</t>
  </si>
  <si>
    <t xml:space="preserve">Daniel + all</t>
  </si>
  <si>
    <t xml:space="preserve">3 buoy nodes, 22 pods and 2 gateways built; 72-hour burn-in and splash test passed.</t>
  </si>
  <si>
    <t xml:space="preserve">Checklist with photos</t>
  </si>
  <si>
    <t xml:space="preserve">R1</t>
  </si>
  <si>
    <t xml:space="preserve">Quarterly report 1</t>
  </si>
  <si>
    <t xml:space="preserve">Faculty leader, Lenard, Doreen</t>
  </si>
  <si>
    <t xml:space="preserve">Technical and financial report submitted to ASU/DOST.</t>
  </si>
  <si>
    <t xml:space="preserve">Submitted report</t>
  </si>
  <si>
    <t xml:space="preserve">D9</t>
  </si>
  <si>
    <t xml:space="preserve">Coverage map</t>
  </si>
  <si>
    <t xml:space="preserve">Daniel + Lenard</t>
  </si>
  <si>
    <t xml:space="preserve">Signal measured at 50+ GPS-tagged points by boat; coverage map made; buoy positions confirmed with LGU and Coast Guard.</t>
  </si>
  <si>
    <t xml:space="preserve">Coverage map and raw data</t>
  </si>
  <si>
    <t xml:space="preserve">D10</t>
  </si>
  <si>
    <t xml:space="preserve">Fisher training materials in Aklanon</t>
  </si>
  <si>
    <t xml:space="preserve">Doreen, KC, Jade</t>
  </si>
  <si>
    <t xml:space="preserve">Materials on SOS, charging and basic checks, reviewed by the fisherfolk association.</t>
  </si>
  <si>
    <t xml:space="preserve">Final materials, review notes</t>
  </si>
  <si>
    <t xml:space="preserve">D11</t>
  </si>
  <si>
    <t xml:space="preserve">Gateways and buoy nodes installed</t>
  </si>
  <si>
    <t xml:space="preserve">2 gateways on rooftops and 3 buoy nodes on host buoys, all reporting health for 7 days straight.</t>
  </si>
  <si>
    <t xml:space="preserve">Dashboard logs, photos</t>
  </si>
  <si>
    <t xml:space="preserve">D12</t>
  </si>
  <si>
    <t xml:space="preserve">20 boats onboarded</t>
  </si>
  <si>
    <t xml:space="preserve">Doreen, KC, Jade, Arnold</t>
  </si>
  <si>
    <t xml:space="preserve">20 boats have pods; fishers trained in 2-3 batches; consent forms signed; MDRRMO operators trained.</t>
  </si>
  <si>
    <t xml:space="preserve">Attendance sheets, consent forms</t>
  </si>
  <si>
    <t xml:space="preserve">D13</t>
  </si>
  <si>
    <t xml:space="preserve">SOS acceptance test passed (go-live)</t>
  </si>
  <si>
    <t xml:space="preserve">Lenard, Daniel + MDRRMO</t>
  </si>
  <si>
    <t xml:space="preserve">At least 30 drills at 3+ locations; 95%+ reach the dashboard within 2 min; MDRRMO acknowledges within 10 min; gateway power-loss and carrier-loss tests passed.</t>
  </si>
  <si>
    <t xml:space="preserve">Drill report</t>
  </si>
  <si>
    <t xml:space="preserve">G2, Milestone 1</t>
  </si>
  <si>
    <t xml:space="preserve">R2</t>
  </si>
  <si>
    <t xml:space="preserve">Quarterly report 2 and mid-year review</t>
  </si>
  <si>
    <t xml:space="preserve">Technical and financial report submitted; mid-year review held with ASU.</t>
  </si>
  <si>
    <t xml:space="preserve">D14</t>
  </si>
  <si>
    <t xml:space="preserve">Six months of supported SOS operation</t>
  </si>
  <si>
    <t xml:space="preserve">Daniel (upkeep), Lenard</t>
  </si>
  <si>
    <t xml:space="preserve">Every month meets the Monthly Ops targets (uptime, outage, drills, inspections, active pods).</t>
  </si>
  <si>
    <t xml:space="preserve">6 monthly ops reports</t>
  </si>
  <si>
    <t xml:space="preserve">Milestone 1</t>
  </si>
  <si>
    <t xml:space="preserve">D15</t>
  </si>
  <si>
    <t xml:space="preserve">Fisher feedback survey 1</t>
  </si>
  <si>
    <t xml:space="preserve">Doreen, KC</t>
  </si>
  <si>
    <t xml:space="preserve">At least 15 of 20 fishers surveyed; top issues logged and assigned.</t>
  </si>
  <si>
    <t xml:space="preserve">Survey results</t>
  </si>
  <si>
    <t xml:space="preserve">D16</t>
  </si>
  <si>
    <t xml:space="preserve">Year 2 proposal presented to the LGU</t>
  </si>
  <si>
    <t xml:space="preserve">Doreen, KC + Lenard</t>
  </si>
  <si>
    <t xml:space="preserve">Proposal presented while the LGU prepares next year's budget (usually mid-year).</t>
  </si>
  <si>
    <t xml:space="preserve">Presentation, meeting notes</t>
  </si>
  <si>
    <t xml:space="preserve">D17</t>
  </si>
  <si>
    <t xml:space="preserve">Actual cost report</t>
  </si>
  <si>
    <t xml:space="preserve">Doreen + Daniel</t>
  </si>
  <si>
    <t xml:space="preserve">Real cost of buoy node, pod and gateway vs budget, with variances explained.</t>
  </si>
  <si>
    <t xml:space="preserve">Cost report</t>
  </si>
  <si>
    <t xml:space="preserve">R3</t>
  </si>
  <si>
    <t xml:space="preserve">Quarterly report 3</t>
  </si>
  <si>
    <t xml:space="preserve">D18</t>
  </si>
  <si>
    <t xml:space="preserve">Fisher feedback survey 2</t>
  </si>
  <si>
    <t xml:space="preserve">Same survey repeated; changes since survey 1 reported.</t>
  </si>
  <si>
    <t xml:space="preserve">D19</t>
  </si>
  <si>
    <t xml:space="preserve">Experimental AI evaluation report</t>
  </si>
  <si>
    <t xml:space="preserve">Squall, drift and catch features tested on pilot data; results reported separately from SOS results.</t>
  </si>
  <si>
    <t xml:space="preserve">Evaluation report</t>
  </si>
  <si>
    <t xml:space="preserve">D20</t>
  </si>
  <si>
    <t xml:space="preserve">Year 2 commitment from New Washington</t>
  </si>
  <si>
    <t xml:space="preserve">Paid Year 2 agreement or LOI signed.</t>
  </si>
  <si>
    <t xml:space="preserve">Signed document</t>
  </si>
  <si>
    <t xml:space="preserve">D21</t>
  </si>
  <si>
    <t xml:space="preserve">Operator training and maintenance handover</t>
  </si>
  <si>
    <t xml:space="preserve">Daniel, Arnold + all</t>
  </si>
  <si>
    <t xml:space="preserve">LGU/MDRRMO operators trained; operations manual handed over; plan for who runs AqOne after Year 1.</t>
  </si>
  <si>
    <t xml:space="preserve">Training record, manual</t>
  </si>
  <si>
    <t xml:space="preserve">D22</t>
  </si>
  <si>
    <t xml:space="preserve">Final report and dataset</t>
  </si>
  <si>
    <t xml:space="preserve">All + faculty leader</t>
  </si>
  <si>
    <t xml:space="preserve">Final technical report, anonymized dataset and final drill results submitted.</t>
  </si>
  <si>
    <t xml:space="preserve">Final report, dataset</t>
  </si>
  <si>
    <t xml:space="preserve">D23</t>
  </si>
  <si>
    <t xml:space="preserve">Conference abstract</t>
  </si>
  <si>
    <t xml:space="preserve">Lenard + faculty leader</t>
  </si>
  <si>
    <t xml:space="preserve">Abstract submitted to one national research forum.</t>
  </si>
  <si>
    <t xml:space="preserve">Submission receipt</t>
  </si>
  <si>
    <t xml:space="preserve">R4</t>
  </si>
  <si>
    <t xml:space="preserve">Quarterly report 4</t>
  </si>
  <si>
    <t xml:space="preserve">Technical and financial report submitted; terminal report and liquidation follow per DOST rules.</t>
  </si>
  <si>
    <t xml:space="preserve">Progress</t>
  </si>
  <si>
    <t xml:space="preserve">Week-by-Week Calendar</t>
  </si>
  <si>
    <t xml:space="preserve">Month labels follow the start date on the Overview sheet.</t>
  </si>
  <si>
    <t xml:space="preserve">Month</t>
  </si>
  <si>
    <t xml:space="preserve">Month name</t>
  </si>
  <si>
    <t xml:space="preserve">Week</t>
  </si>
  <si>
    <t xml:space="preserve">Activity</t>
  </si>
  <si>
    <t xml:space="preserve">Feeds deliverable</t>
  </si>
  <si>
    <t xml:space="preserve">M1</t>
  </si>
  <si>
    <t xml:space="preserve">1</t>
  </si>
  <si>
    <t xml:space="preserve">Kickoff with the faculty project leader and ASU Research Office; confirm expense, procurement and reimbursement rules; assign owners.</t>
  </si>
  <si>
    <t xml:space="preserve">All</t>
  </si>
  <si>
    <t xml:space="preserve">Move the backend to paid Render; set up staging and uptime monitoring; test a backup restore.</t>
  </si>
  <si>
    <t xml:space="preserve">2</t>
  </si>
  <si>
    <t xml:space="preserve">Get quotations for all hardware and submit purchase requests.</t>
  </si>
  <si>
    <t xml:space="preserve">Courtesy visit to New Washington LGU and MDRRMO; present the project; hand over a draft MOA.</t>
  </si>
  <si>
    <t xml:space="preserve">3</t>
  </si>
  <si>
    <t xml:space="preserve">Start porting firmware to RAK boards on dev kits.</t>
  </si>
  <si>
    <t xml:space="preserve">Plan app and dashboard sprints; write the SOS acceptance test rules.</t>
  </si>
  <si>
    <t xml:space="preserve">Jade, Arnold, Lenard</t>
  </si>
  <si>
    <t xml:space="preserve">D6, D7, D13</t>
  </si>
  <si>
    <t xml:space="preserve">4</t>
  </si>
  <si>
    <t xml:space="preserve">Draft the fisher consent form and privacy notice (Data Privacy Act).</t>
  </si>
  <si>
    <t xml:space="preserve">M2</t>
  </si>
  <si>
    <t xml:space="preserve">1-2</t>
  </si>
  <si>
    <t xml:space="preserve">Firmware port continues; first parts arrive; dashboard SOS acknowledgement flow; app pod pairing.</t>
  </si>
  <si>
    <t xml:space="preserve">Daniel, Arnold, Jade</t>
  </si>
  <si>
    <t xml:space="preserve">D5, D6, D7</t>
  </si>
  <si>
    <t xml:space="preserve">With the LGU: pick 2 rooftop gateway sites and 3 host buoys; meet the fisherfolk association and sign up 20 boats.</t>
  </si>
  <si>
    <t xml:space="preserve">Doreen, KC, Daniel</t>
  </si>
  <si>
    <t xml:space="preserve">D4, D12</t>
  </si>
  <si>
    <t xml:space="preserve">MOA/LOI signed. Gate G1 go/no-go; switch to plan B if no agreement. Chase late parts.</t>
  </si>
  <si>
    <t xml:space="preserve">Faculty leader, Doreen</t>
  </si>
  <si>
    <t xml:space="preserve">M3</t>
  </si>
  <si>
    <t xml:space="preserve">Assemble 22 pods, 2 gateways and 3 buoy nodes; bench SOS tests; pod battery endurance test.</t>
  </si>
  <si>
    <t xml:space="preserve">D5, D8</t>
  </si>
  <si>
    <t xml:space="preserve">72-hour burn-in and splash tests; app closed testing on 5 low-end phones; create MDRRMO operator accounts.</t>
  </si>
  <si>
    <t xml:space="preserve">Daniel, Jade, Arnold</t>
  </si>
  <si>
    <t xml:space="preserve">D6, D7, D8</t>
  </si>
  <si>
    <t xml:space="preserve">Fix what failed; write and submit quarterly report 1.</t>
  </si>
  <si>
    <t xml:space="preserve">M4</t>
  </si>
  <si>
    <t xml:space="preserve">Coverage survey by boat: measure the signal at 50+ GPS-tagged points.</t>
  </si>
  <si>
    <t xml:space="preserve">Daniel, Lenard</t>
  </si>
  <si>
    <t xml:space="preserve">Build the coverage map; confirm buoy positions and permits with the LGU and Coast Guard.</t>
  </si>
  <si>
    <t xml:space="preserve">Lenard, Doreen</t>
  </si>
  <si>
    <t xml:space="preserve">Draft fisher training materials in Aklanon; fisherfolk association reviews them.</t>
  </si>
  <si>
    <t xml:space="preserve">M5</t>
  </si>
  <si>
    <t xml:space="preserve">Install both gateways on the rooftops.</t>
  </si>
  <si>
    <t xml:space="preserve">2-3</t>
  </si>
  <si>
    <t xml:space="preserve">Install the 3 buoy nodes on host buoys (sea trips).</t>
  </si>
  <si>
    <t xml:space="preserve">7-day health check of all installed devices; finalize training materials.</t>
  </si>
  <si>
    <t xml:space="preserve">D10, D11</t>
  </si>
  <si>
    <t xml:space="preserve">M6</t>
  </si>
  <si>
    <t xml:space="preserve">Fisher training in 2-3 batches; hand over pods; collect consent forms; train MDRRMO operators.</t>
  </si>
  <si>
    <t xml:space="preserve">SOS commissioning: 30+ drills at 3+ locations; gateway power-loss and carrier-loss tests.</t>
  </si>
  <si>
    <t xml:space="preserve">Gate G2 go-live decision; quarterly report 2 and mid-year review.</t>
  </si>
  <si>
    <t xml:space="preserve">D13, R2</t>
  </si>
  <si>
    <t xml:space="preserve">M7</t>
  </si>
  <si>
    <t xml:space="preserve">Go live. Weekly check-ins with fishers. Start experimental data collection for squall, drift and catch features.</t>
  </si>
  <si>
    <t xml:space="preserve">Lenard, Daniel</t>
  </si>
  <si>
    <t xml:space="preserve">D14, D19</t>
  </si>
  <si>
    <t xml:space="preserve">Monthly</t>
  </si>
  <si>
    <t xml:space="preserve">Every month M7-M12: 5+ SOS drills, 1 inspection trip (plus checks after bad weather), uptime report, incident log.</t>
  </si>
  <si>
    <t xml:space="preserve">M8</t>
  </si>
  <si>
    <t xml:space="preserve">Fisher feedback survey 1; app and firmware fixes from the results.</t>
  </si>
  <si>
    <t xml:space="preserve">Doreen, KC, Jade, Daniel</t>
  </si>
  <si>
    <t xml:space="preserve">3-4</t>
  </si>
  <si>
    <t xml:space="preserve">Present the Year 2 proposal to the LGU during its budget preparation.</t>
  </si>
  <si>
    <t xml:space="preserve">M9</t>
  </si>
  <si>
    <t xml:space="preserve">1-3</t>
  </si>
  <si>
    <t xml:space="preserve">Compile the real cost of each device vs budget.</t>
  </si>
  <si>
    <t xml:space="preserve">Doreen, Daniel</t>
  </si>
  <si>
    <t xml:space="preserve">Write and submit quarterly report 3.</t>
  </si>
  <si>
    <t xml:space="preserve">M10</t>
  </si>
  <si>
    <t xml:space="preserve">Fisher feedback survey 2.</t>
  </si>
  <si>
    <t xml:space="preserve">Analyze the experimental AI features; draft the Year 2 agreement with the LGU.</t>
  </si>
  <si>
    <t xml:space="preserve">D19, D20</t>
  </si>
  <si>
    <t xml:space="preserve">M11</t>
  </si>
  <si>
    <t xml:space="preserve">Finish the AI evaluation report (kept separate from SOS results).</t>
  </si>
  <si>
    <t xml:space="preserve">Get the Year 2 agreement or LOI signed; draft the operations manual.</t>
  </si>
  <si>
    <t xml:space="preserve">D20, D21</t>
  </si>
  <si>
    <t xml:space="preserve">M12</t>
  </si>
  <si>
    <t xml:space="preserve">Train LGU/MDRRMO operators; maintenance handover; agree who runs AqOne after Year 1.</t>
  </si>
  <si>
    <t xml:space="preserve">Final drills; freeze and anonymize the dataset.</t>
  </si>
  <si>
    <t xml:space="preserve">Final report, conference abstract and quarterly report 4. Investor Milestone 1 check.</t>
  </si>
  <si>
    <t xml:space="preserve">D22, D23, R4</t>
  </si>
  <si>
    <t xml:space="preserve">12-Month Gantt</t>
  </si>
  <si>
    <t xml:space="preserve">Bars show when each piece of work runs. Change Start/End months to move a bar.</t>
  </si>
  <si>
    <t xml:space="preserve">Workstream</t>
  </si>
  <si>
    <t xml:space="preserve">Work</t>
  </si>
  <si>
    <t xml:space="preserve">Start</t>
  </si>
  <si>
    <t xml:space="preserve">End</t>
  </si>
  <si>
    <t xml:space="preserve">Agreements</t>
  </si>
  <si>
    <t xml:space="preserve">Kickoff and ASU rules</t>
  </si>
  <si>
    <t xml:space="preserve">LGU and MDRRMO agreement (D4)</t>
  </si>
  <si>
    <t xml:space="preserve">Consent and privacy forms (D3)</t>
  </si>
  <si>
    <t xml:space="preserve">Build</t>
  </si>
  <si>
    <t xml:space="preserve">Backend on paid plan (D1)</t>
  </si>
  <si>
    <t xml:space="preserve">Procurement (D2)</t>
  </si>
  <si>
    <t xml:space="preserve">Firmware on RAK (D5)</t>
  </si>
  <si>
    <t xml:space="preserve">App (D6)</t>
  </si>
  <si>
    <t xml:space="preserve">Dashboard (D7)</t>
  </si>
  <si>
    <t xml:space="preserve">Assembly and bench tests (D8)</t>
  </si>
  <si>
    <t xml:space="preserve">Deploy</t>
  </si>
  <si>
    <t xml:space="preserve">Coverage survey (D9)</t>
  </si>
  <si>
    <t xml:space="preserve">Training materials (D10)</t>
  </si>
  <si>
    <t xml:space="preserve">Installation (D11)</t>
  </si>
  <si>
    <t xml:space="preserve">Fisher onboarding (D12)</t>
  </si>
  <si>
    <t xml:space="preserve">SOS acceptance test (D13)</t>
  </si>
  <si>
    <t xml:space="preserve">Operate</t>
  </si>
  <si>
    <t xml:space="preserve">Supported SOS operation (D14)</t>
  </si>
  <si>
    <t xml:space="preserve">Fisher surveys (D15, D18)</t>
  </si>
  <si>
    <t xml:space="preserve">Year 2 proposal and commitment (D16, D20)</t>
  </si>
  <si>
    <t xml:space="preserve">Cost report (D17)</t>
  </si>
  <si>
    <t xml:space="preserve">AI evaluation (D19)</t>
  </si>
  <si>
    <t xml:space="preserve">Handover, final report, abstract (D21-D23)</t>
  </si>
  <si>
    <t xml:space="preserve">Reporting</t>
  </si>
  <si>
    <t xml:space="preserve">Quarterly reports (R1-R4)</t>
  </si>
  <si>
    <t xml:space="preserve">(next quarterly report)</t>
  </si>
  <si>
    <t xml:space="preserve">Gates (see Gates sheet)</t>
  </si>
  <si>
    <t xml:space="preserve">▲ G1</t>
  </si>
  <si>
    <t xml:space="preserve">▲ G2</t>
  </si>
  <si>
    <t xml:space="preserve">▲ G3</t>
  </si>
  <si>
    <t xml:space="preserve">Monthly Operations Tracker (Months 7-12)</t>
  </si>
  <si>
    <t xml:space="preserve">Type the actual numbers each month in the yellow cells. A month passes when every target is met.</t>
  </si>
  <si>
    <t xml:space="preserve">TARGETS (change here if ASU or MDRRMO agree different ones)</t>
  </si>
  <si>
    <t xml:space="preserve">Network uptime (minimum)</t>
  </si>
  <si>
    <t xml:space="preserve">Longest outage (max. hours)</t>
  </si>
  <si>
    <t xml:space="preserve">SOS drills (minimum per month)</t>
  </si>
  <si>
    <t xml:space="preserve">Inspection trips (minimum per month)</t>
  </si>
  <si>
    <t xml:space="preserve">Pods used on trips (min., of 20)</t>
  </si>
  <si>
    <t xml:space="preserve">Uptime</t>
  </si>
  <si>
    <t xml:space="preserve">Longest outage (h)</t>
  </si>
  <si>
    <t xml:space="preserve">SOS drills</t>
  </si>
  <si>
    <t xml:space="preserve">Inspection trips</t>
  </si>
  <si>
    <t xml:space="preserve">Pods used on trips</t>
  </si>
  <si>
    <t xml:space="preserve">Result</t>
  </si>
  <si>
    <t xml:space="preserve">Incidents and notes</t>
  </si>
  <si>
    <t xml:space="preserve">Months passed</t>
  </si>
  <si>
    <t xml:space="preserve">D14 is met when all 6 months pass.</t>
  </si>
  <si>
    <t xml:space="preserve">Gates and Investor Milestone 1</t>
  </si>
  <si>
    <t xml:space="preserve">Each gate lists the deliverables it needs. Status is read from the Deliverables sheet.</t>
  </si>
  <si>
    <t xml:space="preserve">G1 Go/no-go on LGU agreement</t>
  </si>
  <si>
    <t xml:space="preserve">Needs deliverable</t>
  </si>
  <si>
    <t xml:space="preserve">Pass/fail test</t>
  </si>
  <si>
    <t xml:space="preserve">Gate result</t>
  </si>
  <si>
    <t xml:space="preserve">If not met: switch to plan B (ASU-arranged boats, buoys and gateway sites) before installation.</t>
  </si>
  <si>
    <t xml:space="preserve">G2 Go-live</t>
  </si>
  <si>
    <t xml:space="preserve">If not met: do not go live; fix, re-test within 4 weeks.</t>
  </si>
  <si>
    <t xml:space="preserve">G3 Investor Milestone 1 (unlocks ₱3M)</t>
  </si>
  <si>
    <t xml:space="preserve">If not met: the investor may decline tranche 1. Proof: DOST/ASU reports, dashboard logs, signed Year 2 document.</t>
  </si>
  <si>
    <t xml:space="preserve">Investor Milestone 2 (end of Year 2, unlocks ₱5M): 3 paying municipalities, 150+ active pods, 1+ co-op purchase agreement, pilot LGU renews, deployment gross margin ≥35%. Tracked in Year 2, not in this workbook.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</si>
</sst>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m\ d&quot;, &quot;yyyy"/>
    <numFmt numFmtId="166" formatCode="\₱#,##0.00"/>
    <numFmt numFmtId="167" formatCode="0"/>
    <numFmt numFmtId="168" formatCode=";;;"/>
    <numFmt numFmtId="169" formatCode="0%"/>
    <numFmt numFmtId="170" formatCode="0.0%"/>
    <numFmt numFmtId="171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9C000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5B9B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20"/>
    <col collapsed="false" customWidth="true" hidden="false" outlineLevel="0" max="5" min="5" style="0" width="64"/>
  </cols>
  <sheetData>
    <row r="1" customFormat="false" ht="24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3" customFormat="false" ht="15" hidden="false" customHeight="false" outlineLevel="0" collapsed="false">
      <c r="B3" s="3" t="s">
        <v>2</v>
      </c>
      <c r="C3" s="4" t="s">
        <v>3</v>
      </c>
    </row>
    <row r="4" customFormat="false" ht="15" hidden="false" customHeight="false" outlineLevel="0" collapsed="false">
      <c r="B4" s="3" t="s">
        <v>4</v>
      </c>
      <c r="C4" s="4" t="s">
        <v>5</v>
      </c>
    </row>
    <row r="5" customFormat="false" ht="15" hidden="false" customHeight="false" outlineLevel="0" collapsed="false">
      <c r="B5" s="3" t="s">
        <v>6</v>
      </c>
      <c r="C5" s="4" t="s">
        <v>7</v>
      </c>
    </row>
    <row r="6" customFormat="false" ht="15" hidden="false" customHeight="false" outlineLevel="0" collapsed="false">
      <c r="B6" s="3" t="s">
        <v>8</v>
      </c>
      <c r="C6" s="4" t="s">
        <v>9</v>
      </c>
    </row>
    <row r="7" customFormat="false" ht="18.75" hidden="false" customHeight="true" outlineLevel="0" collapsed="false">
      <c r="A7" s="5" t="s">
        <v>10</v>
      </c>
      <c r="B7" s="5"/>
      <c r="C7" s="5"/>
      <c r="D7" s="5"/>
      <c r="E7" s="5"/>
    </row>
    <row r="8" customFormat="false" ht="23.85" hidden="false" customHeight="false" outlineLevel="0" collapsed="false">
      <c r="B8" s="3" t="s">
        <v>11</v>
      </c>
      <c r="C8" s="6" t="n">
        <v>46388</v>
      </c>
      <c r="E8" s="7" t="s">
        <v>12</v>
      </c>
    </row>
    <row r="9" customFormat="false" ht="15" hidden="false" customHeight="false" outlineLevel="0" collapsed="false">
      <c r="B9" s="3" t="s">
        <v>13</v>
      </c>
      <c r="C9" s="8" t="n">
        <f aca="false">EDATE(Overview!$C$8,12)-1</f>
        <v>46752</v>
      </c>
      <c r="E9" s="9"/>
    </row>
    <row r="10" customFormat="false" ht="15" hidden="false" customHeight="false" outlineLevel="0" collapsed="false">
      <c r="B10" s="3" t="s">
        <v>14</v>
      </c>
      <c r="C10" s="4" t="s">
        <v>15</v>
      </c>
      <c r="E10" s="9"/>
    </row>
    <row r="11" customFormat="false" ht="15" hidden="false" customHeight="false" outlineLevel="0" collapsed="false">
      <c r="B11" s="3" t="s">
        <v>16</v>
      </c>
      <c r="C11" s="10" t="n">
        <v>1705525.37</v>
      </c>
      <c r="E11" s="9" t="s">
        <v>17</v>
      </c>
    </row>
    <row r="13" customFormat="false" ht="18.75" hidden="false" customHeight="true" outlineLevel="0" collapsed="false">
      <c r="A13" s="5" t="s">
        <v>18</v>
      </c>
      <c r="B13" s="5"/>
      <c r="C13" s="5"/>
      <c r="D13" s="5"/>
      <c r="E13" s="5"/>
    </row>
    <row r="14" customFormat="false" ht="15" hidden="false" customHeight="false" outlineLevel="0" collapsed="false">
      <c r="A14" s="11"/>
      <c r="B14" s="11" t="s">
        <v>19</v>
      </c>
      <c r="C14" s="11" t="s">
        <v>20</v>
      </c>
      <c r="D14" s="11" t="s">
        <v>21</v>
      </c>
      <c r="E14" s="11" t="s">
        <v>22</v>
      </c>
    </row>
    <row r="15" customFormat="false" ht="30" hidden="false" customHeight="true" outlineLevel="0" collapsed="false">
      <c r="A15" s="12"/>
      <c r="B15" s="13" t="s">
        <v>23</v>
      </c>
      <c r="C15" s="14" t="n">
        <f aca="false">EDATE(Overview!$C$8,1-1)</f>
        <v>46388</v>
      </c>
      <c r="D15" s="14" t="n">
        <f aca="false">EOMONTH(Overview!$C$8,3-1)</f>
        <v>46477</v>
      </c>
      <c r="E15" s="12" t="s">
        <v>24</v>
      </c>
    </row>
    <row r="16" customFormat="false" ht="30" hidden="false" customHeight="true" outlineLevel="0" collapsed="false">
      <c r="A16" s="12"/>
      <c r="B16" s="13" t="s">
        <v>25</v>
      </c>
      <c r="C16" s="14" t="n">
        <f aca="false">EDATE(Overview!$C$8,4-1)</f>
        <v>46478</v>
      </c>
      <c r="D16" s="14" t="n">
        <f aca="false">EOMONTH(Overview!$C$8,6-1)</f>
        <v>46568</v>
      </c>
      <c r="E16" s="12" t="s">
        <v>26</v>
      </c>
    </row>
    <row r="17" customFormat="false" ht="30" hidden="false" customHeight="true" outlineLevel="0" collapsed="false">
      <c r="A17" s="12"/>
      <c r="B17" s="13" t="s">
        <v>27</v>
      </c>
      <c r="C17" s="14" t="n">
        <f aca="false">EDATE(Overview!$C$8,7-1)</f>
        <v>46569</v>
      </c>
      <c r="D17" s="14" t="n">
        <f aca="false">EOMONTH(Overview!$C$8,12-1)</f>
        <v>46752</v>
      </c>
      <c r="E17" s="12" t="s">
        <v>28</v>
      </c>
    </row>
    <row r="19" customFormat="false" ht="18.75" hidden="false" customHeight="true" outlineLevel="0" collapsed="false">
      <c r="A19" s="5" t="s">
        <v>29</v>
      </c>
      <c r="B19" s="5"/>
      <c r="C19" s="5"/>
      <c r="D19" s="5"/>
      <c r="E19" s="5"/>
    </row>
    <row r="20" customFormat="false" ht="15" hidden="false" customHeight="false" outlineLevel="0" collapsed="false">
      <c r="A20" s="11"/>
      <c r="B20" s="11" t="s">
        <v>30</v>
      </c>
      <c r="C20" s="11" t="s">
        <v>31</v>
      </c>
      <c r="D20" s="11" t="s">
        <v>32</v>
      </c>
      <c r="E20" s="11" t="s">
        <v>33</v>
      </c>
    </row>
    <row r="21" customFormat="false" ht="30" hidden="false" customHeight="true" outlineLevel="0" collapsed="false">
      <c r="A21" s="12"/>
      <c r="B21" s="13" t="s">
        <v>34</v>
      </c>
      <c r="C21" s="14" t="n">
        <f aca="false">EOMONTH(Overview!$C$8,2-1)</f>
        <v>46446</v>
      </c>
      <c r="D21" s="12" t="s">
        <v>35</v>
      </c>
      <c r="E21" s="12" t="s">
        <v>36</v>
      </c>
    </row>
    <row r="22" customFormat="false" ht="30" hidden="false" customHeight="true" outlineLevel="0" collapsed="false">
      <c r="A22" s="12"/>
      <c r="B22" s="13" t="s">
        <v>37</v>
      </c>
      <c r="C22" s="14" t="n">
        <f aca="false">EOMONTH(Overview!$C$8,6-1)</f>
        <v>46568</v>
      </c>
      <c r="D22" s="12" t="s">
        <v>38</v>
      </c>
      <c r="E22" s="12" t="s">
        <v>39</v>
      </c>
    </row>
    <row r="23" customFormat="false" ht="30" hidden="false" customHeight="true" outlineLevel="0" collapsed="false">
      <c r="A23" s="12"/>
      <c r="B23" s="13" t="s">
        <v>40</v>
      </c>
      <c r="C23" s="14" t="n">
        <f aca="false">EOMONTH(Overview!$C$8,12-1)</f>
        <v>46752</v>
      </c>
      <c r="D23" s="12" t="s">
        <v>41</v>
      </c>
      <c r="E23" s="12" t="s">
        <v>42</v>
      </c>
    </row>
    <row r="25" customFormat="false" ht="18.75" hidden="false" customHeight="true" outlineLevel="0" collapsed="false">
      <c r="A25" s="5" t="s">
        <v>43</v>
      </c>
      <c r="B25" s="5"/>
      <c r="C25" s="5"/>
      <c r="D25" s="5"/>
      <c r="E25" s="5"/>
    </row>
    <row r="26" customFormat="false" ht="15" hidden="false" customHeight="false" outlineLevel="0" collapsed="false">
      <c r="A26" s="11"/>
      <c r="B26" s="11" t="s">
        <v>44</v>
      </c>
      <c r="C26" s="11" t="s">
        <v>45</v>
      </c>
      <c r="D26" s="11" t="s">
        <v>46</v>
      </c>
      <c r="E26" s="11" t="s">
        <v>47</v>
      </c>
    </row>
    <row r="27" customFormat="false" ht="42.75" hidden="false" customHeight="true" outlineLevel="0" collapsed="false">
      <c r="A27" s="12"/>
      <c r="B27" s="13" t="s">
        <v>48</v>
      </c>
      <c r="C27" s="12" t="s">
        <v>49</v>
      </c>
      <c r="D27" s="15" t="n">
        <v>20</v>
      </c>
      <c r="E27" s="12" t="s">
        <v>50</v>
      </c>
    </row>
    <row r="28" customFormat="false" ht="30" hidden="false" customHeight="true" outlineLevel="0" collapsed="false">
      <c r="A28" s="12"/>
      <c r="B28" s="13" t="s">
        <v>51</v>
      </c>
      <c r="C28" s="12" t="s">
        <v>52</v>
      </c>
      <c r="D28" s="15" t="n">
        <v>10</v>
      </c>
      <c r="E28" s="12" t="s">
        <v>53</v>
      </c>
    </row>
    <row r="29" customFormat="false" ht="16.5" hidden="false" customHeight="true" outlineLevel="0" collapsed="false">
      <c r="A29" s="12"/>
      <c r="B29" s="13" t="s">
        <v>54</v>
      </c>
      <c r="C29" s="12" t="s">
        <v>55</v>
      </c>
      <c r="D29" s="15" t="n">
        <v>10</v>
      </c>
      <c r="E29" s="12" t="s">
        <v>56</v>
      </c>
    </row>
    <row r="30" customFormat="false" ht="16.5" hidden="false" customHeight="true" outlineLevel="0" collapsed="false">
      <c r="A30" s="12"/>
      <c r="B30" s="13" t="s">
        <v>57</v>
      </c>
      <c r="C30" s="12" t="s">
        <v>58</v>
      </c>
      <c r="D30" s="15" t="n">
        <v>10</v>
      </c>
      <c r="E30" s="12" t="s">
        <v>59</v>
      </c>
    </row>
    <row r="31" customFormat="false" ht="42.75" hidden="false" customHeight="true" outlineLevel="0" collapsed="false">
      <c r="A31" s="12"/>
      <c r="B31" s="13" t="s">
        <v>60</v>
      </c>
      <c r="C31" s="12" t="s">
        <v>61</v>
      </c>
      <c r="D31" s="15" t="n">
        <v>10</v>
      </c>
      <c r="E31" s="12" t="s">
        <v>62</v>
      </c>
    </row>
    <row r="32" customFormat="false" ht="30" hidden="false" customHeight="true" outlineLevel="0" collapsed="false">
      <c r="A32" s="12"/>
      <c r="B32" s="13" t="s">
        <v>63</v>
      </c>
      <c r="C32" s="12" t="s">
        <v>64</v>
      </c>
      <c r="D32" s="15" t="n">
        <v>10</v>
      </c>
      <c r="E32" s="12" t="s">
        <v>65</v>
      </c>
    </row>
    <row r="33" customFormat="false" ht="30" hidden="false" customHeight="true" outlineLevel="0" collapsed="false">
      <c r="A33" s="12"/>
      <c r="B33" s="13" t="s">
        <v>66</v>
      </c>
      <c r="C33" s="12" t="s">
        <v>67</v>
      </c>
      <c r="D33" s="15"/>
      <c r="E33" s="12" t="s">
        <v>68</v>
      </c>
    </row>
    <row r="35" customFormat="false" ht="18.75" hidden="false" customHeight="true" outlineLevel="0" collapsed="false">
      <c r="A35" s="5" t="s">
        <v>69</v>
      </c>
      <c r="B35" s="5"/>
      <c r="C35" s="5"/>
      <c r="D35" s="5"/>
      <c r="E35" s="5"/>
    </row>
    <row r="36" customFormat="false" ht="27.75" hidden="false" customHeight="true" outlineLevel="0" collapsed="false">
      <c r="B36" s="16" t="s">
        <v>70</v>
      </c>
      <c r="C36" s="16"/>
      <c r="D36" s="16"/>
      <c r="E36" s="16"/>
    </row>
    <row r="37" customFormat="false" ht="15" hidden="false" customHeight="true" outlineLevel="0" collapsed="false">
      <c r="B37" s="16" t="s">
        <v>71</v>
      </c>
      <c r="C37" s="16"/>
      <c r="D37" s="16"/>
      <c r="E37" s="16"/>
    </row>
    <row r="38" customFormat="false" ht="15" hidden="false" customHeight="true" outlineLevel="0" collapsed="false">
      <c r="B38" s="16" t="s">
        <v>72</v>
      </c>
      <c r="C38" s="16"/>
      <c r="D38" s="16"/>
      <c r="E38" s="16"/>
    </row>
    <row r="39" customFormat="false" ht="15" hidden="false" customHeight="true" outlineLevel="0" collapsed="false">
      <c r="B39" s="16" t="s">
        <v>73</v>
      </c>
      <c r="C39" s="16"/>
      <c r="D39" s="16"/>
      <c r="E39" s="16"/>
    </row>
    <row r="40" customFormat="false" ht="15" hidden="false" customHeight="true" outlineLevel="0" collapsed="false">
      <c r="B40" s="16" t="s">
        <v>74</v>
      </c>
      <c r="C40" s="16"/>
      <c r="D40" s="16"/>
      <c r="E40" s="16"/>
    </row>
    <row r="41" customFormat="false" ht="27.75" hidden="false" customHeight="true" outlineLevel="0" collapsed="false">
      <c r="B41" s="16" t="s">
        <v>75</v>
      </c>
      <c r="C41" s="16"/>
      <c r="D41" s="16"/>
      <c r="E41" s="16"/>
    </row>
  </sheetData>
  <mergeCells count="12">
    <mergeCell ref="A2:E2"/>
    <mergeCell ref="A7:E7"/>
    <mergeCell ref="A13:E13"/>
    <mergeCell ref="A19:E19"/>
    <mergeCell ref="A25:E25"/>
    <mergeCell ref="A35:E35"/>
    <mergeCell ref="B36:E36"/>
    <mergeCell ref="B37:E37"/>
    <mergeCell ref="B38:E38"/>
    <mergeCell ref="B39:E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52"/>
    <col collapsed="false" customWidth="true" hidden="false" outlineLevel="0" max="8" min="8" style="0" width="24"/>
    <col collapsed="false" customWidth="true" hidden="false" outlineLevel="0" max="9" min="9" style="0" width="14"/>
    <col collapsed="false" customWidth="true" hidden="false" outlineLevel="0" max="11" min="10" style="0" width="13"/>
    <col collapsed="false" customWidth="true" hidden="false" outlineLevel="0" max="12" min="12" style="0" width="24"/>
  </cols>
  <sheetData>
    <row r="1" customFormat="false" ht="24" hidden="false" customHeight="true" outlineLevel="0" collapsed="false">
      <c r="A1" s="1" t="s">
        <v>76</v>
      </c>
    </row>
    <row r="2" customFormat="false" ht="30" hidden="false" customHeight="true" outlineLevel="0" collapsed="false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3.85" hidden="false" customHeight="false" outlineLevel="0" collapsed="false">
      <c r="A4" s="11" t="s">
        <v>78</v>
      </c>
      <c r="B4" s="11" t="s">
        <v>79</v>
      </c>
      <c r="C4" s="11" t="s">
        <v>80</v>
      </c>
      <c r="D4" s="11" t="s">
        <v>81</v>
      </c>
      <c r="E4" s="11" t="s">
        <v>82</v>
      </c>
      <c r="F4" s="11" t="s">
        <v>4</v>
      </c>
      <c r="G4" s="11" t="s">
        <v>83</v>
      </c>
      <c r="H4" s="11" t="s">
        <v>84</v>
      </c>
      <c r="I4" s="11" t="s">
        <v>85</v>
      </c>
      <c r="J4" s="11" t="s">
        <v>2</v>
      </c>
      <c r="K4" s="11" t="s">
        <v>86</v>
      </c>
      <c r="L4" s="11" t="s">
        <v>87</v>
      </c>
    </row>
    <row r="5" customFormat="false" ht="30" hidden="false" customHeight="true" outlineLevel="0" collapsed="false">
      <c r="A5" s="13" t="s">
        <v>88</v>
      </c>
      <c r="B5" s="13" t="s">
        <v>89</v>
      </c>
      <c r="C5" s="15" t="n">
        <v>1</v>
      </c>
      <c r="D5" s="15" t="n">
        <v>1</v>
      </c>
      <c r="E5" s="14" t="n">
        <f aca="false">EOMONTH(Overview!$C$8,D5-1)</f>
        <v>46418</v>
      </c>
      <c r="F5" s="12" t="s">
        <v>48</v>
      </c>
      <c r="G5" s="12" t="s">
        <v>90</v>
      </c>
      <c r="H5" s="12" t="s">
        <v>91</v>
      </c>
      <c r="I5" s="12"/>
      <c r="J5" s="17" t="s">
        <v>92</v>
      </c>
      <c r="K5" s="18"/>
      <c r="L5" s="12"/>
    </row>
    <row r="6" customFormat="false" ht="30" hidden="false" customHeight="true" outlineLevel="0" collapsed="false">
      <c r="A6" s="13" t="s">
        <v>93</v>
      </c>
      <c r="B6" s="13" t="s">
        <v>94</v>
      </c>
      <c r="C6" s="15" t="n">
        <v>1</v>
      </c>
      <c r="D6" s="15" t="n">
        <v>1</v>
      </c>
      <c r="E6" s="14" t="n">
        <f aca="false">EOMONTH(Overview!$C$8,D6-1)</f>
        <v>46418</v>
      </c>
      <c r="F6" s="12" t="s">
        <v>95</v>
      </c>
      <c r="G6" s="12" t="s">
        <v>96</v>
      </c>
      <c r="H6" s="12" t="s">
        <v>97</v>
      </c>
      <c r="I6" s="12"/>
      <c r="J6" s="17" t="s">
        <v>92</v>
      </c>
      <c r="K6" s="18"/>
      <c r="L6" s="12"/>
    </row>
    <row r="7" customFormat="false" ht="30" hidden="false" customHeight="true" outlineLevel="0" collapsed="false">
      <c r="A7" s="13" t="s">
        <v>98</v>
      </c>
      <c r="B7" s="13" t="s">
        <v>99</v>
      </c>
      <c r="C7" s="15" t="n">
        <v>1</v>
      </c>
      <c r="D7" s="15" t="n">
        <v>1</v>
      </c>
      <c r="E7" s="14" t="n">
        <f aca="false">EOMONTH(Overview!$C$8,D7-1)</f>
        <v>46418</v>
      </c>
      <c r="F7" s="12" t="s">
        <v>100</v>
      </c>
      <c r="G7" s="12" t="s">
        <v>101</v>
      </c>
      <c r="H7" s="12" t="s">
        <v>102</v>
      </c>
      <c r="I7" s="12"/>
      <c r="J7" s="17" t="s">
        <v>92</v>
      </c>
      <c r="K7" s="18"/>
      <c r="L7" s="12"/>
    </row>
    <row r="8" customFormat="false" ht="42.75" hidden="false" customHeight="true" outlineLevel="0" collapsed="false">
      <c r="A8" s="13" t="s">
        <v>103</v>
      </c>
      <c r="B8" s="13" t="s">
        <v>104</v>
      </c>
      <c r="C8" s="15" t="n">
        <v>2</v>
      </c>
      <c r="D8" s="15" t="n">
        <v>2</v>
      </c>
      <c r="E8" s="14" t="n">
        <f aca="false">EOMONTH(Overview!$C$8,D8-1)</f>
        <v>46446</v>
      </c>
      <c r="F8" s="12" t="s">
        <v>105</v>
      </c>
      <c r="G8" s="12" t="s">
        <v>106</v>
      </c>
      <c r="H8" s="12" t="s">
        <v>107</v>
      </c>
      <c r="I8" s="12" t="s">
        <v>108</v>
      </c>
      <c r="J8" s="17" t="s">
        <v>92</v>
      </c>
      <c r="K8" s="18"/>
      <c r="L8" s="12"/>
    </row>
    <row r="9" customFormat="false" ht="42.75" hidden="false" customHeight="true" outlineLevel="0" collapsed="false">
      <c r="A9" s="13" t="s">
        <v>109</v>
      </c>
      <c r="B9" s="13" t="s">
        <v>110</v>
      </c>
      <c r="C9" s="15" t="n">
        <v>1</v>
      </c>
      <c r="D9" s="15" t="n">
        <v>3</v>
      </c>
      <c r="E9" s="14" t="n">
        <f aca="false">EOMONTH(Overview!$C$8,D9-1)</f>
        <v>46477</v>
      </c>
      <c r="F9" s="12" t="s">
        <v>51</v>
      </c>
      <c r="G9" s="12" t="s">
        <v>111</v>
      </c>
      <c r="H9" s="12" t="s">
        <v>112</v>
      </c>
      <c r="I9" s="12"/>
      <c r="J9" s="17" t="s">
        <v>92</v>
      </c>
      <c r="K9" s="18"/>
      <c r="L9" s="12"/>
    </row>
    <row r="10" customFormat="false" ht="30" hidden="false" customHeight="true" outlineLevel="0" collapsed="false">
      <c r="A10" s="13" t="s">
        <v>113</v>
      </c>
      <c r="B10" s="13" t="s">
        <v>114</v>
      </c>
      <c r="C10" s="15" t="n">
        <v>1</v>
      </c>
      <c r="D10" s="15" t="n">
        <v>3</v>
      </c>
      <c r="E10" s="14" t="n">
        <f aca="false">EOMONTH(Overview!$C$8,D10-1)</f>
        <v>46477</v>
      </c>
      <c r="F10" s="12" t="s">
        <v>54</v>
      </c>
      <c r="G10" s="12" t="s">
        <v>115</v>
      </c>
      <c r="H10" s="12" t="s">
        <v>116</v>
      </c>
      <c r="I10" s="12"/>
      <c r="J10" s="17" t="s">
        <v>92</v>
      </c>
      <c r="K10" s="18"/>
      <c r="L10" s="12"/>
    </row>
    <row r="11" customFormat="false" ht="30" hidden="false" customHeight="true" outlineLevel="0" collapsed="false">
      <c r="A11" s="13" t="s">
        <v>117</v>
      </c>
      <c r="B11" s="13" t="s">
        <v>118</v>
      </c>
      <c r="C11" s="15" t="n">
        <v>1</v>
      </c>
      <c r="D11" s="15" t="n">
        <v>3</v>
      </c>
      <c r="E11" s="14" t="n">
        <f aca="false">EOMONTH(Overview!$C$8,D11-1)</f>
        <v>46477</v>
      </c>
      <c r="F11" s="12" t="s">
        <v>57</v>
      </c>
      <c r="G11" s="12" t="s">
        <v>119</v>
      </c>
      <c r="H11" s="12" t="s">
        <v>120</v>
      </c>
      <c r="I11" s="12"/>
      <c r="J11" s="17" t="s">
        <v>92</v>
      </c>
      <c r="K11" s="18"/>
      <c r="L11" s="12"/>
    </row>
    <row r="12" customFormat="false" ht="30" hidden="false" customHeight="true" outlineLevel="0" collapsed="false">
      <c r="A12" s="13" t="s">
        <v>121</v>
      </c>
      <c r="B12" s="13" t="s">
        <v>122</v>
      </c>
      <c r="C12" s="15" t="n">
        <v>2</v>
      </c>
      <c r="D12" s="15" t="n">
        <v>3</v>
      </c>
      <c r="E12" s="14" t="n">
        <f aca="false">EOMONTH(Overview!$C$8,D12-1)</f>
        <v>46477</v>
      </c>
      <c r="F12" s="12" t="s">
        <v>123</v>
      </c>
      <c r="G12" s="12" t="s">
        <v>124</v>
      </c>
      <c r="H12" s="12" t="s">
        <v>125</v>
      </c>
      <c r="I12" s="12"/>
      <c r="J12" s="17" t="s">
        <v>92</v>
      </c>
      <c r="K12" s="18"/>
      <c r="L12" s="12"/>
    </row>
    <row r="13" customFormat="false" ht="30" hidden="false" customHeight="true" outlineLevel="0" collapsed="false">
      <c r="A13" s="19" t="s">
        <v>126</v>
      </c>
      <c r="B13" s="19" t="s">
        <v>127</v>
      </c>
      <c r="C13" s="20" t="n">
        <v>3</v>
      </c>
      <c r="D13" s="20" t="n">
        <v>3</v>
      </c>
      <c r="E13" s="21" t="n">
        <f aca="false">EOMONTH(Overview!$C$8,D13-1)</f>
        <v>46477</v>
      </c>
      <c r="F13" s="22" t="s">
        <v>128</v>
      </c>
      <c r="G13" s="22" t="s">
        <v>129</v>
      </c>
      <c r="H13" s="22" t="s">
        <v>130</v>
      </c>
      <c r="I13" s="22"/>
      <c r="J13" s="17" t="s">
        <v>92</v>
      </c>
      <c r="K13" s="18"/>
      <c r="L13" s="22"/>
    </row>
    <row r="14" customFormat="false" ht="42.75" hidden="false" customHeight="true" outlineLevel="0" collapsed="false">
      <c r="A14" s="13" t="s">
        <v>131</v>
      </c>
      <c r="B14" s="13" t="s">
        <v>132</v>
      </c>
      <c r="C14" s="15" t="n">
        <v>4</v>
      </c>
      <c r="D14" s="15" t="n">
        <v>4</v>
      </c>
      <c r="E14" s="14" t="n">
        <f aca="false">EOMONTH(Overview!$C$8,D14-1)</f>
        <v>46507</v>
      </c>
      <c r="F14" s="12" t="s">
        <v>133</v>
      </c>
      <c r="G14" s="12" t="s">
        <v>134</v>
      </c>
      <c r="H14" s="12" t="s">
        <v>135</v>
      </c>
      <c r="I14" s="12"/>
      <c r="J14" s="17" t="s">
        <v>92</v>
      </c>
      <c r="K14" s="18"/>
      <c r="L14" s="12"/>
    </row>
    <row r="15" customFormat="false" ht="30" hidden="false" customHeight="true" outlineLevel="0" collapsed="false">
      <c r="A15" s="13" t="s">
        <v>136</v>
      </c>
      <c r="B15" s="13" t="s">
        <v>137</v>
      </c>
      <c r="C15" s="15" t="n">
        <v>4</v>
      </c>
      <c r="D15" s="15" t="n">
        <v>5</v>
      </c>
      <c r="E15" s="14" t="n">
        <f aca="false">EOMONTH(Overview!$C$8,D15-1)</f>
        <v>46538</v>
      </c>
      <c r="F15" s="12" t="s">
        <v>138</v>
      </c>
      <c r="G15" s="12" t="s">
        <v>139</v>
      </c>
      <c r="H15" s="12" t="s">
        <v>140</v>
      </c>
      <c r="I15" s="12"/>
      <c r="J15" s="17" t="s">
        <v>92</v>
      </c>
      <c r="K15" s="18"/>
      <c r="L15" s="12"/>
    </row>
    <row r="16" customFormat="false" ht="30" hidden="false" customHeight="true" outlineLevel="0" collapsed="false">
      <c r="A16" s="13" t="s">
        <v>141</v>
      </c>
      <c r="B16" s="13" t="s">
        <v>142</v>
      </c>
      <c r="C16" s="15" t="n">
        <v>5</v>
      </c>
      <c r="D16" s="15" t="n">
        <v>5</v>
      </c>
      <c r="E16" s="14" t="n">
        <f aca="false">EOMONTH(Overview!$C$8,D16-1)</f>
        <v>46538</v>
      </c>
      <c r="F16" s="12" t="s">
        <v>123</v>
      </c>
      <c r="G16" s="12" t="s">
        <v>143</v>
      </c>
      <c r="H16" s="12" t="s">
        <v>144</v>
      </c>
      <c r="I16" s="12"/>
      <c r="J16" s="17" t="s">
        <v>92</v>
      </c>
      <c r="K16" s="18"/>
      <c r="L16" s="12"/>
    </row>
    <row r="17" customFormat="false" ht="30" hidden="false" customHeight="true" outlineLevel="0" collapsed="false">
      <c r="A17" s="13" t="s">
        <v>145</v>
      </c>
      <c r="B17" s="13" t="s">
        <v>146</v>
      </c>
      <c r="C17" s="15" t="n">
        <v>6</v>
      </c>
      <c r="D17" s="15" t="n">
        <v>6</v>
      </c>
      <c r="E17" s="14" t="n">
        <f aca="false">EOMONTH(Overview!$C$8,D17-1)</f>
        <v>46568</v>
      </c>
      <c r="F17" s="12" t="s">
        <v>147</v>
      </c>
      <c r="G17" s="12" t="s">
        <v>148</v>
      </c>
      <c r="H17" s="12" t="s">
        <v>149</v>
      </c>
      <c r="I17" s="12"/>
      <c r="J17" s="17" t="s">
        <v>92</v>
      </c>
      <c r="K17" s="18"/>
      <c r="L17" s="12"/>
    </row>
    <row r="18" customFormat="false" ht="42.75" hidden="false" customHeight="true" outlineLevel="0" collapsed="false">
      <c r="A18" s="13" t="s">
        <v>150</v>
      </c>
      <c r="B18" s="13" t="s">
        <v>151</v>
      </c>
      <c r="C18" s="15" t="n">
        <v>6</v>
      </c>
      <c r="D18" s="15" t="n">
        <v>6</v>
      </c>
      <c r="E18" s="14" t="n">
        <f aca="false">EOMONTH(Overview!$C$8,D18-1)</f>
        <v>46568</v>
      </c>
      <c r="F18" s="12" t="s">
        <v>152</v>
      </c>
      <c r="G18" s="12" t="s">
        <v>153</v>
      </c>
      <c r="H18" s="12" t="s">
        <v>154</v>
      </c>
      <c r="I18" s="12" t="s">
        <v>155</v>
      </c>
      <c r="J18" s="17" t="s">
        <v>92</v>
      </c>
      <c r="K18" s="18"/>
      <c r="L18" s="12"/>
    </row>
    <row r="19" customFormat="false" ht="30" hidden="false" customHeight="true" outlineLevel="0" collapsed="false">
      <c r="A19" s="19" t="s">
        <v>156</v>
      </c>
      <c r="B19" s="19" t="s">
        <v>157</v>
      </c>
      <c r="C19" s="20" t="n">
        <v>6</v>
      </c>
      <c r="D19" s="20" t="n">
        <v>6</v>
      </c>
      <c r="E19" s="21" t="n">
        <f aca="false">EOMONTH(Overview!$C$8,D19-1)</f>
        <v>46568</v>
      </c>
      <c r="F19" s="22" t="s">
        <v>128</v>
      </c>
      <c r="G19" s="22" t="s">
        <v>158</v>
      </c>
      <c r="H19" s="22" t="s">
        <v>130</v>
      </c>
      <c r="I19" s="22"/>
      <c r="J19" s="17" t="s">
        <v>92</v>
      </c>
      <c r="K19" s="18"/>
      <c r="L19" s="22"/>
    </row>
    <row r="20" customFormat="false" ht="30" hidden="false" customHeight="true" outlineLevel="0" collapsed="false">
      <c r="A20" s="13" t="s">
        <v>159</v>
      </c>
      <c r="B20" s="13" t="s">
        <v>160</v>
      </c>
      <c r="C20" s="15" t="n">
        <v>7</v>
      </c>
      <c r="D20" s="15" t="n">
        <v>12</v>
      </c>
      <c r="E20" s="14" t="n">
        <f aca="false">EOMONTH(Overview!$C$8,D20-1)</f>
        <v>46752</v>
      </c>
      <c r="F20" s="12" t="s">
        <v>161</v>
      </c>
      <c r="G20" s="12" t="s">
        <v>162</v>
      </c>
      <c r="H20" s="12" t="s">
        <v>163</v>
      </c>
      <c r="I20" s="12" t="s">
        <v>164</v>
      </c>
      <c r="J20" s="17" t="s">
        <v>92</v>
      </c>
      <c r="K20" s="18"/>
      <c r="L20" s="12"/>
    </row>
    <row r="21" customFormat="false" ht="30" hidden="false" customHeight="true" outlineLevel="0" collapsed="false">
      <c r="A21" s="13" t="s">
        <v>165</v>
      </c>
      <c r="B21" s="13" t="s">
        <v>166</v>
      </c>
      <c r="C21" s="15" t="n">
        <v>8</v>
      </c>
      <c r="D21" s="15" t="n">
        <v>8</v>
      </c>
      <c r="E21" s="14" t="n">
        <f aca="false">EOMONTH(Overview!$C$8,D21-1)</f>
        <v>46630</v>
      </c>
      <c r="F21" s="12" t="s">
        <v>167</v>
      </c>
      <c r="G21" s="12" t="s">
        <v>168</v>
      </c>
      <c r="H21" s="12" t="s">
        <v>169</v>
      </c>
      <c r="I21" s="12"/>
      <c r="J21" s="17" t="s">
        <v>92</v>
      </c>
      <c r="K21" s="18"/>
      <c r="L21" s="12"/>
    </row>
    <row r="22" customFormat="false" ht="30" hidden="false" customHeight="true" outlineLevel="0" collapsed="false">
      <c r="A22" s="13" t="s">
        <v>170</v>
      </c>
      <c r="B22" s="13" t="s">
        <v>171</v>
      </c>
      <c r="C22" s="15" t="n">
        <v>8</v>
      </c>
      <c r="D22" s="15" t="n">
        <v>8</v>
      </c>
      <c r="E22" s="14" t="n">
        <f aca="false">EOMONTH(Overview!$C$8,D22-1)</f>
        <v>46630</v>
      </c>
      <c r="F22" s="12" t="s">
        <v>172</v>
      </c>
      <c r="G22" s="12" t="s">
        <v>173</v>
      </c>
      <c r="H22" s="12" t="s">
        <v>174</v>
      </c>
      <c r="I22" s="12"/>
      <c r="J22" s="17" t="s">
        <v>92</v>
      </c>
      <c r="K22" s="18"/>
      <c r="L22" s="12"/>
    </row>
    <row r="23" customFormat="false" ht="30" hidden="false" customHeight="true" outlineLevel="0" collapsed="false">
      <c r="A23" s="13" t="s">
        <v>175</v>
      </c>
      <c r="B23" s="13" t="s">
        <v>176</v>
      </c>
      <c r="C23" s="15" t="n">
        <v>9</v>
      </c>
      <c r="D23" s="15" t="n">
        <v>9</v>
      </c>
      <c r="E23" s="14" t="n">
        <f aca="false">EOMONTH(Overview!$C$8,D23-1)</f>
        <v>46660</v>
      </c>
      <c r="F23" s="12" t="s">
        <v>177</v>
      </c>
      <c r="G23" s="12" t="s">
        <v>178</v>
      </c>
      <c r="H23" s="12" t="s">
        <v>179</v>
      </c>
      <c r="I23" s="12" t="s">
        <v>164</v>
      </c>
      <c r="J23" s="17" t="s">
        <v>92</v>
      </c>
      <c r="K23" s="18"/>
      <c r="L23" s="12"/>
    </row>
    <row r="24" customFormat="false" ht="30" hidden="false" customHeight="true" outlineLevel="0" collapsed="false">
      <c r="A24" s="19" t="s">
        <v>180</v>
      </c>
      <c r="B24" s="19" t="s">
        <v>181</v>
      </c>
      <c r="C24" s="20" t="n">
        <v>9</v>
      </c>
      <c r="D24" s="20" t="n">
        <v>9</v>
      </c>
      <c r="E24" s="21" t="n">
        <f aca="false">EOMONTH(Overview!$C$8,D24-1)</f>
        <v>46660</v>
      </c>
      <c r="F24" s="22" t="s">
        <v>128</v>
      </c>
      <c r="G24" s="22" t="s">
        <v>129</v>
      </c>
      <c r="H24" s="22" t="s">
        <v>130</v>
      </c>
      <c r="I24" s="22"/>
      <c r="J24" s="17" t="s">
        <v>92</v>
      </c>
      <c r="K24" s="18"/>
      <c r="L24" s="22"/>
    </row>
    <row r="25" customFormat="false" ht="16.5" hidden="false" customHeight="true" outlineLevel="0" collapsed="false">
      <c r="A25" s="13" t="s">
        <v>182</v>
      </c>
      <c r="B25" s="13" t="s">
        <v>183</v>
      </c>
      <c r="C25" s="15" t="n">
        <v>10</v>
      </c>
      <c r="D25" s="15" t="n">
        <v>10</v>
      </c>
      <c r="E25" s="14" t="n">
        <f aca="false">EOMONTH(Overview!$C$8,D25-1)</f>
        <v>46691</v>
      </c>
      <c r="F25" s="12" t="s">
        <v>167</v>
      </c>
      <c r="G25" s="12" t="s">
        <v>184</v>
      </c>
      <c r="H25" s="12" t="s">
        <v>169</v>
      </c>
      <c r="I25" s="12"/>
      <c r="J25" s="17" t="s">
        <v>92</v>
      </c>
      <c r="K25" s="18"/>
      <c r="L25" s="12"/>
    </row>
    <row r="26" customFormat="false" ht="30" hidden="false" customHeight="true" outlineLevel="0" collapsed="false">
      <c r="A26" s="13" t="s">
        <v>185</v>
      </c>
      <c r="B26" s="13" t="s">
        <v>186</v>
      </c>
      <c r="C26" s="15" t="n">
        <v>9</v>
      </c>
      <c r="D26" s="15" t="n">
        <v>11</v>
      </c>
      <c r="E26" s="14" t="n">
        <f aca="false">EOMONTH(Overview!$C$8,D26-1)</f>
        <v>46721</v>
      </c>
      <c r="F26" s="12" t="s">
        <v>48</v>
      </c>
      <c r="G26" s="12" t="s">
        <v>187</v>
      </c>
      <c r="H26" s="12" t="s">
        <v>188</v>
      </c>
      <c r="I26" s="12"/>
      <c r="J26" s="17" t="s">
        <v>92</v>
      </c>
      <c r="K26" s="18"/>
      <c r="L26" s="12"/>
    </row>
    <row r="27" customFormat="false" ht="30" hidden="false" customHeight="true" outlineLevel="0" collapsed="false">
      <c r="A27" s="13" t="s">
        <v>189</v>
      </c>
      <c r="B27" s="13" t="s">
        <v>190</v>
      </c>
      <c r="C27" s="15" t="n">
        <v>10</v>
      </c>
      <c r="D27" s="15" t="n">
        <v>11</v>
      </c>
      <c r="E27" s="14" t="n">
        <f aca="false">EOMONTH(Overview!$C$8,D27-1)</f>
        <v>46721</v>
      </c>
      <c r="F27" s="12" t="s">
        <v>167</v>
      </c>
      <c r="G27" s="12" t="s">
        <v>191</v>
      </c>
      <c r="H27" s="12" t="s">
        <v>192</v>
      </c>
      <c r="I27" s="12" t="s">
        <v>164</v>
      </c>
      <c r="J27" s="17" t="s">
        <v>92</v>
      </c>
      <c r="K27" s="18"/>
      <c r="L27" s="12"/>
    </row>
    <row r="28" customFormat="false" ht="30" hidden="false" customHeight="true" outlineLevel="0" collapsed="false">
      <c r="A28" s="13" t="s">
        <v>193</v>
      </c>
      <c r="B28" s="13" t="s">
        <v>194</v>
      </c>
      <c r="C28" s="15" t="n">
        <v>12</v>
      </c>
      <c r="D28" s="15" t="n">
        <v>12</v>
      </c>
      <c r="E28" s="14" t="n">
        <f aca="false">EOMONTH(Overview!$C$8,D28-1)</f>
        <v>46752</v>
      </c>
      <c r="F28" s="12" t="s">
        <v>195</v>
      </c>
      <c r="G28" s="12" t="s">
        <v>196</v>
      </c>
      <c r="H28" s="12" t="s">
        <v>197</v>
      </c>
      <c r="I28" s="12"/>
      <c r="J28" s="17" t="s">
        <v>92</v>
      </c>
      <c r="K28" s="18"/>
      <c r="L28" s="12"/>
    </row>
    <row r="29" customFormat="false" ht="30" hidden="false" customHeight="true" outlineLevel="0" collapsed="false">
      <c r="A29" s="13" t="s">
        <v>198</v>
      </c>
      <c r="B29" s="13" t="s">
        <v>199</v>
      </c>
      <c r="C29" s="15" t="n">
        <v>12</v>
      </c>
      <c r="D29" s="15" t="n">
        <v>12</v>
      </c>
      <c r="E29" s="14" t="n">
        <f aca="false">EOMONTH(Overview!$C$8,D29-1)</f>
        <v>46752</v>
      </c>
      <c r="F29" s="12" t="s">
        <v>200</v>
      </c>
      <c r="G29" s="12" t="s">
        <v>201</v>
      </c>
      <c r="H29" s="12" t="s">
        <v>202</v>
      </c>
      <c r="I29" s="12"/>
      <c r="J29" s="17" t="s">
        <v>92</v>
      </c>
      <c r="K29" s="18"/>
      <c r="L29" s="12"/>
    </row>
    <row r="30" customFormat="false" ht="16.5" hidden="false" customHeight="true" outlineLevel="0" collapsed="false">
      <c r="A30" s="13" t="s">
        <v>203</v>
      </c>
      <c r="B30" s="13" t="s">
        <v>204</v>
      </c>
      <c r="C30" s="15" t="n">
        <v>12</v>
      </c>
      <c r="D30" s="15" t="n">
        <v>12</v>
      </c>
      <c r="E30" s="14" t="n">
        <f aca="false">EOMONTH(Overview!$C$8,D30-1)</f>
        <v>46752</v>
      </c>
      <c r="F30" s="12" t="s">
        <v>205</v>
      </c>
      <c r="G30" s="12" t="s">
        <v>206</v>
      </c>
      <c r="H30" s="12" t="s">
        <v>207</v>
      </c>
      <c r="I30" s="12"/>
      <c r="J30" s="17" t="s">
        <v>92</v>
      </c>
      <c r="K30" s="18"/>
      <c r="L30" s="12"/>
    </row>
    <row r="31" customFormat="false" ht="30" hidden="false" customHeight="true" outlineLevel="0" collapsed="false">
      <c r="A31" s="19" t="s">
        <v>208</v>
      </c>
      <c r="B31" s="19" t="s">
        <v>209</v>
      </c>
      <c r="C31" s="20" t="n">
        <v>12</v>
      </c>
      <c r="D31" s="20" t="n">
        <v>12</v>
      </c>
      <c r="E31" s="21" t="n">
        <f aca="false">EOMONTH(Overview!$C$8,D31-1)</f>
        <v>46752</v>
      </c>
      <c r="F31" s="22" t="s">
        <v>128</v>
      </c>
      <c r="G31" s="22" t="s">
        <v>210</v>
      </c>
      <c r="H31" s="22" t="s">
        <v>130</v>
      </c>
      <c r="I31" s="22"/>
      <c r="J31" s="17" t="s">
        <v>92</v>
      </c>
      <c r="K31" s="18"/>
      <c r="L31" s="22"/>
    </row>
    <row r="33" customFormat="false" ht="15" hidden="false" customHeight="false" outlineLevel="0" collapsed="false">
      <c r="B33" s="3" t="s">
        <v>211</v>
      </c>
      <c r="C33" s="3" t="str">
        <f aca="false">COUNTIF(J5:J31,"Done")&amp;" of "&amp;COUNTA(A5:A31)&amp;" done"</f>
        <v>0 of 27 done</v>
      </c>
    </row>
  </sheetData>
  <mergeCells count="1">
    <mergeCell ref="A2:L2"/>
  </mergeCells>
  <conditionalFormatting sqref="J5:J31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"Blocked"</formula>
    </cfRule>
  </conditionalFormatting>
  <dataValidations count="1">
    <dataValidation allowBlank="true" errorStyle="stop" operator="between" showDropDown="false" showErrorMessage="false" showInputMessage="false" sqref="J5:J31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70"/>
    <col collapsed="false" customWidth="true" hidden="false" outlineLevel="0" max="5" min="5" style="0" width="26"/>
    <col collapsed="false" customWidth="true" hidden="false" outlineLevel="0" max="6" min="6" style="0" width="16"/>
  </cols>
  <sheetData>
    <row r="1" customFormat="false" ht="24" hidden="false" customHeight="true" outlineLevel="0" collapsed="false">
      <c r="A1" s="1" t="s">
        <v>212</v>
      </c>
    </row>
    <row r="2" customFormat="false" ht="30" hidden="false" customHeight="true" outlineLevel="0" collapsed="false">
      <c r="A2" s="2" t="s">
        <v>213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1" t="s">
        <v>214</v>
      </c>
      <c r="B4" s="11" t="s">
        <v>215</v>
      </c>
      <c r="C4" s="11" t="s">
        <v>216</v>
      </c>
      <c r="D4" s="11" t="s">
        <v>217</v>
      </c>
      <c r="E4" s="11" t="s">
        <v>4</v>
      </c>
      <c r="F4" s="11" t="s">
        <v>218</v>
      </c>
    </row>
    <row r="5" customFormat="false" ht="30" hidden="false" customHeight="true" outlineLevel="0" collapsed="false">
      <c r="A5" s="13" t="s">
        <v>219</v>
      </c>
      <c r="B5" s="12" t="str">
        <f aca="false">TEXT(EDATE(Overview!$C$8,1-1),"mmm yyyy")</f>
        <v>Jan 2027</v>
      </c>
      <c r="C5" s="12" t="s">
        <v>220</v>
      </c>
      <c r="D5" s="12" t="s">
        <v>221</v>
      </c>
      <c r="E5" s="12" t="s">
        <v>222</v>
      </c>
      <c r="F5" s="13"/>
    </row>
    <row r="6" customFormat="false" ht="30" hidden="false" customHeight="true" outlineLevel="0" collapsed="false">
      <c r="A6" s="13" t="s">
        <v>219</v>
      </c>
      <c r="B6" s="12" t="str">
        <f aca="false">TEXT(EDATE(Overview!$C$8,1-1),"mmm yyyy")</f>
        <v>Jan 2027</v>
      </c>
      <c r="C6" s="12" t="s">
        <v>220</v>
      </c>
      <c r="D6" s="12" t="s">
        <v>223</v>
      </c>
      <c r="E6" s="12" t="s">
        <v>48</v>
      </c>
      <c r="F6" s="13" t="s">
        <v>88</v>
      </c>
    </row>
    <row r="7" customFormat="false" ht="16.5" hidden="false" customHeight="true" outlineLevel="0" collapsed="false">
      <c r="A7" s="13" t="s">
        <v>219</v>
      </c>
      <c r="B7" s="12" t="str">
        <f aca="false">TEXT(EDATE(Overview!$C$8,1-1),"mmm yyyy")</f>
        <v>Jan 2027</v>
      </c>
      <c r="C7" s="12" t="s">
        <v>224</v>
      </c>
      <c r="D7" s="12" t="s">
        <v>225</v>
      </c>
      <c r="E7" s="12" t="s">
        <v>95</v>
      </c>
      <c r="F7" s="13" t="s">
        <v>93</v>
      </c>
    </row>
    <row r="8" customFormat="false" ht="30" hidden="false" customHeight="true" outlineLevel="0" collapsed="false">
      <c r="A8" s="13" t="s">
        <v>219</v>
      </c>
      <c r="B8" s="12" t="str">
        <f aca="false">TEXT(EDATE(Overview!$C$8,1-1),"mmm yyyy")</f>
        <v>Jan 2027</v>
      </c>
      <c r="C8" s="12" t="s">
        <v>224</v>
      </c>
      <c r="D8" s="12" t="s">
        <v>226</v>
      </c>
      <c r="E8" s="12" t="s">
        <v>105</v>
      </c>
      <c r="F8" s="13" t="s">
        <v>103</v>
      </c>
    </row>
    <row r="9" customFormat="false" ht="16.5" hidden="false" customHeight="true" outlineLevel="0" collapsed="false">
      <c r="A9" s="13" t="s">
        <v>219</v>
      </c>
      <c r="B9" s="12" t="str">
        <f aca="false">TEXT(EDATE(Overview!$C$8,1-1),"mmm yyyy")</f>
        <v>Jan 2027</v>
      </c>
      <c r="C9" s="12" t="s">
        <v>227</v>
      </c>
      <c r="D9" s="12" t="s">
        <v>228</v>
      </c>
      <c r="E9" s="12" t="s">
        <v>51</v>
      </c>
      <c r="F9" s="13" t="s">
        <v>109</v>
      </c>
    </row>
    <row r="10" customFormat="false" ht="16.5" hidden="false" customHeight="true" outlineLevel="0" collapsed="false">
      <c r="A10" s="13" t="s">
        <v>219</v>
      </c>
      <c r="B10" s="12" t="str">
        <f aca="false">TEXT(EDATE(Overview!$C$8,1-1),"mmm yyyy")</f>
        <v>Jan 2027</v>
      </c>
      <c r="C10" s="12" t="s">
        <v>227</v>
      </c>
      <c r="D10" s="12" t="s">
        <v>229</v>
      </c>
      <c r="E10" s="12" t="s">
        <v>230</v>
      </c>
      <c r="F10" s="13" t="s">
        <v>231</v>
      </c>
    </row>
    <row r="11" customFormat="false" ht="16.5" hidden="false" customHeight="true" outlineLevel="0" collapsed="false">
      <c r="A11" s="13" t="s">
        <v>219</v>
      </c>
      <c r="B11" s="12" t="str">
        <f aca="false">TEXT(EDATE(Overview!$C$8,1-1),"mmm yyyy")</f>
        <v>Jan 2027</v>
      </c>
      <c r="C11" s="12" t="s">
        <v>232</v>
      </c>
      <c r="D11" s="12" t="s">
        <v>233</v>
      </c>
      <c r="E11" s="12" t="s">
        <v>100</v>
      </c>
      <c r="F11" s="13" t="s">
        <v>98</v>
      </c>
    </row>
    <row r="12" customFormat="false" ht="30" hidden="false" customHeight="true" outlineLevel="0" collapsed="false">
      <c r="A12" s="19" t="s">
        <v>234</v>
      </c>
      <c r="B12" s="22" t="str">
        <f aca="false">TEXT(EDATE(Overview!$C$8,2-1),"mmm yyyy")</f>
        <v>Feb 2027</v>
      </c>
      <c r="C12" s="22" t="s">
        <v>235</v>
      </c>
      <c r="D12" s="22" t="s">
        <v>236</v>
      </c>
      <c r="E12" s="22" t="s">
        <v>237</v>
      </c>
      <c r="F12" s="19" t="s">
        <v>238</v>
      </c>
    </row>
    <row r="13" customFormat="false" ht="30" hidden="false" customHeight="true" outlineLevel="0" collapsed="false">
      <c r="A13" s="19" t="s">
        <v>234</v>
      </c>
      <c r="B13" s="22" t="str">
        <f aca="false">TEXT(EDATE(Overview!$C$8,2-1),"mmm yyyy")</f>
        <v>Feb 2027</v>
      </c>
      <c r="C13" s="22" t="s">
        <v>227</v>
      </c>
      <c r="D13" s="22" t="s">
        <v>239</v>
      </c>
      <c r="E13" s="22" t="s">
        <v>240</v>
      </c>
      <c r="F13" s="19" t="s">
        <v>241</v>
      </c>
    </row>
    <row r="14" customFormat="false" ht="30" hidden="false" customHeight="true" outlineLevel="0" collapsed="false">
      <c r="A14" s="19" t="s">
        <v>234</v>
      </c>
      <c r="B14" s="22" t="str">
        <f aca="false">TEXT(EDATE(Overview!$C$8,2-1),"mmm yyyy")</f>
        <v>Feb 2027</v>
      </c>
      <c r="C14" s="22" t="s">
        <v>232</v>
      </c>
      <c r="D14" s="22" t="s">
        <v>242</v>
      </c>
      <c r="E14" s="22" t="s">
        <v>243</v>
      </c>
      <c r="F14" s="19" t="s">
        <v>103</v>
      </c>
    </row>
    <row r="15" customFormat="false" ht="30" hidden="false" customHeight="true" outlineLevel="0" collapsed="false">
      <c r="A15" s="13" t="s">
        <v>244</v>
      </c>
      <c r="B15" s="12" t="str">
        <f aca="false">TEXT(EDATE(Overview!$C$8,3-1),"mmm yyyy")</f>
        <v>Mar 2027</v>
      </c>
      <c r="C15" s="12" t="s">
        <v>235</v>
      </c>
      <c r="D15" s="12" t="s">
        <v>245</v>
      </c>
      <c r="E15" s="12" t="s">
        <v>123</v>
      </c>
      <c r="F15" s="13" t="s">
        <v>246</v>
      </c>
    </row>
    <row r="16" customFormat="false" ht="30" hidden="false" customHeight="true" outlineLevel="0" collapsed="false">
      <c r="A16" s="13" t="s">
        <v>244</v>
      </c>
      <c r="B16" s="12" t="str">
        <f aca="false">TEXT(EDATE(Overview!$C$8,3-1),"mmm yyyy")</f>
        <v>Mar 2027</v>
      </c>
      <c r="C16" s="12" t="s">
        <v>227</v>
      </c>
      <c r="D16" s="12" t="s">
        <v>247</v>
      </c>
      <c r="E16" s="12" t="s">
        <v>248</v>
      </c>
      <c r="F16" s="13" t="s">
        <v>249</v>
      </c>
    </row>
    <row r="17" customFormat="false" ht="16.5" hidden="false" customHeight="true" outlineLevel="0" collapsed="false">
      <c r="A17" s="13" t="s">
        <v>244</v>
      </c>
      <c r="B17" s="12" t="str">
        <f aca="false">TEXT(EDATE(Overview!$C$8,3-1),"mmm yyyy")</f>
        <v>Mar 2027</v>
      </c>
      <c r="C17" s="12" t="s">
        <v>232</v>
      </c>
      <c r="D17" s="12" t="s">
        <v>250</v>
      </c>
      <c r="E17" s="12" t="s">
        <v>200</v>
      </c>
      <c r="F17" s="13" t="s">
        <v>126</v>
      </c>
    </row>
    <row r="18" customFormat="false" ht="16.5" hidden="false" customHeight="true" outlineLevel="0" collapsed="false">
      <c r="A18" s="19" t="s">
        <v>251</v>
      </c>
      <c r="B18" s="22" t="str">
        <f aca="false">TEXT(EDATE(Overview!$C$8,4-1),"mmm yyyy")</f>
        <v>Apr 2027</v>
      </c>
      <c r="C18" s="22" t="s">
        <v>235</v>
      </c>
      <c r="D18" s="22" t="s">
        <v>252</v>
      </c>
      <c r="E18" s="22" t="s">
        <v>253</v>
      </c>
      <c r="F18" s="19" t="s">
        <v>131</v>
      </c>
    </row>
    <row r="19" customFormat="false" ht="30" hidden="false" customHeight="true" outlineLevel="0" collapsed="false">
      <c r="A19" s="19" t="s">
        <v>251</v>
      </c>
      <c r="B19" s="22" t="str">
        <f aca="false">TEXT(EDATE(Overview!$C$8,4-1),"mmm yyyy")</f>
        <v>Apr 2027</v>
      </c>
      <c r="C19" s="22" t="s">
        <v>227</v>
      </c>
      <c r="D19" s="22" t="s">
        <v>254</v>
      </c>
      <c r="E19" s="22" t="s">
        <v>255</v>
      </c>
      <c r="F19" s="19" t="s">
        <v>131</v>
      </c>
    </row>
    <row r="20" customFormat="false" ht="30" hidden="false" customHeight="true" outlineLevel="0" collapsed="false">
      <c r="A20" s="19" t="s">
        <v>251</v>
      </c>
      <c r="B20" s="22" t="str">
        <f aca="false">TEXT(EDATE(Overview!$C$8,4-1),"mmm yyyy")</f>
        <v>Apr 2027</v>
      </c>
      <c r="C20" s="22" t="s">
        <v>232</v>
      </c>
      <c r="D20" s="22" t="s">
        <v>256</v>
      </c>
      <c r="E20" s="22" t="s">
        <v>138</v>
      </c>
      <c r="F20" s="19" t="s">
        <v>136</v>
      </c>
    </row>
    <row r="21" customFormat="false" ht="16.5" hidden="false" customHeight="true" outlineLevel="0" collapsed="false">
      <c r="A21" s="13" t="s">
        <v>257</v>
      </c>
      <c r="B21" s="12" t="str">
        <f aca="false">TEXT(EDATE(Overview!$C$8,5-1),"mmm yyyy")</f>
        <v>May 2027</v>
      </c>
      <c r="C21" s="12" t="s">
        <v>220</v>
      </c>
      <c r="D21" s="12" t="s">
        <v>258</v>
      </c>
      <c r="E21" s="12" t="s">
        <v>123</v>
      </c>
      <c r="F21" s="13" t="s">
        <v>141</v>
      </c>
    </row>
    <row r="22" customFormat="false" ht="16.5" hidden="false" customHeight="true" outlineLevel="0" collapsed="false">
      <c r="A22" s="13" t="s">
        <v>257</v>
      </c>
      <c r="B22" s="12" t="str">
        <f aca="false">TEXT(EDATE(Overview!$C$8,5-1),"mmm yyyy")</f>
        <v>May 2027</v>
      </c>
      <c r="C22" s="12" t="s">
        <v>259</v>
      </c>
      <c r="D22" s="12" t="s">
        <v>260</v>
      </c>
      <c r="E22" s="12" t="s">
        <v>123</v>
      </c>
      <c r="F22" s="13" t="s">
        <v>141</v>
      </c>
    </row>
    <row r="23" customFormat="false" ht="16.5" hidden="false" customHeight="true" outlineLevel="0" collapsed="false">
      <c r="A23" s="13" t="s">
        <v>257</v>
      </c>
      <c r="B23" s="12" t="str">
        <f aca="false">TEXT(EDATE(Overview!$C$8,5-1),"mmm yyyy")</f>
        <v>May 2027</v>
      </c>
      <c r="C23" s="12" t="s">
        <v>232</v>
      </c>
      <c r="D23" s="12" t="s">
        <v>261</v>
      </c>
      <c r="E23" s="12" t="s">
        <v>255</v>
      </c>
      <c r="F23" s="13" t="s">
        <v>262</v>
      </c>
    </row>
    <row r="24" customFormat="false" ht="30" hidden="false" customHeight="true" outlineLevel="0" collapsed="false">
      <c r="A24" s="19" t="s">
        <v>263</v>
      </c>
      <c r="B24" s="22" t="str">
        <f aca="false">TEXT(EDATE(Overview!$C$8,6-1),"mmm yyyy")</f>
        <v>Jun 2027</v>
      </c>
      <c r="C24" s="22" t="s">
        <v>235</v>
      </c>
      <c r="D24" s="22" t="s">
        <v>264</v>
      </c>
      <c r="E24" s="22" t="s">
        <v>147</v>
      </c>
      <c r="F24" s="19" t="s">
        <v>145</v>
      </c>
    </row>
    <row r="25" customFormat="false" ht="30" hidden="false" customHeight="true" outlineLevel="0" collapsed="false">
      <c r="A25" s="19" t="s">
        <v>263</v>
      </c>
      <c r="B25" s="22" t="str">
        <f aca="false">TEXT(EDATE(Overview!$C$8,6-1),"mmm yyyy")</f>
        <v>Jun 2027</v>
      </c>
      <c r="C25" s="22" t="s">
        <v>227</v>
      </c>
      <c r="D25" s="22" t="s">
        <v>265</v>
      </c>
      <c r="E25" s="22" t="s">
        <v>152</v>
      </c>
      <c r="F25" s="19" t="s">
        <v>150</v>
      </c>
    </row>
    <row r="26" customFormat="false" ht="16.5" hidden="false" customHeight="true" outlineLevel="0" collapsed="false">
      <c r="A26" s="19" t="s">
        <v>263</v>
      </c>
      <c r="B26" s="22" t="str">
        <f aca="false">TEXT(EDATE(Overview!$C$8,6-1),"mmm yyyy")</f>
        <v>Jun 2027</v>
      </c>
      <c r="C26" s="22" t="s">
        <v>232</v>
      </c>
      <c r="D26" s="22" t="s">
        <v>266</v>
      </c>
      <c r="E26" s="22" t="s">
        <v>200</v>
      </c>
      <c r="F26" s="19" t="s">
        <v>267</v>
      </c>
    </row>
    <row r="27" customFormat="false" ht="30" hidden="false" customHeight="true" outlineLevel="0" collapsed="false">
      <c r="A27" s="13" t="s">
        <v>268</v>
      </c>
      <c r="B27" s="12" t="str">
        <f aca="false">TEXT(EDATE(Overview!$C$8,7-1),"mmm yyyy")</f>
        <v>Jul 2027</v>
      </c>
      <c r="C27" s="12" t="s">
        <v>222</v>
      </c>
      <c r="D27" s="12" t="s">
        <v>269</v>
      </c>
      <c r="E27" s="12" t="s">
        <v>270</v>
      </c>
      <c r="F27" s="13" t="s">
        <v>271</v>
      </c>
    </row>
    <row r="28" customFormat="false" ht="30" hidden="false" customHeight="true" outlineLevel="0" collapsed="false">
      <c r="A28" s="13" t="s">
        <v>268</v>
      </c>
      <c r="B28" s="12" t="str">
        <f aca="false">TEXT(EDATE(Overview!$C$8,7-1),"mmm yyyy")</f>
        <v>Jul 2027</v>
      </c>
      <c r="C28" s="12" t="s">
        <v>272</v>
      </c>
      <c r="D28" s="12" t="s">
        <v>273</v>
      </c>
      <c r="E28" s="12" t="s">
        <v>253</v>
      </c>
      <c r="F28" s="13" t="s">
        <v>159</v>
      </c>
    </row>
    <row r="29" customFormat="false" ht="16.5" hidden="false" customHeight="true" outlineLevel="0" collapsed="false">
      <c r="A29" s="19" t="s">
        <v>274</v>
      </c>
      <c r="B29" s="22" t="str">
        <f aca="false">TEXT(EDATE(Overview!$C$8,8-1),"mmm yyyy")</f>
        <v>Aug 2027</v>
      </c>
      <c r="C29" s="22" t="s">
        <v>235</v>
      </c>
      <c r="D29" s="22" t="s">
        <v>275</v>
      </c>
      <c r="E29" s="22" t="s">
        <v>276</v>
      </c>
      <c r="F29" s="19" t="s">
        <v>165</v>
      </c>
    </row>
    <row r="30" customFormat="false" ht="16.5" hidden="false" customHeight="true" outlineLevel="0" collapsed="false">
      <c r="A30" s="19" t="s">
        <v>274</v>
      </c>
      <c r="B30" s="22" t="str">
        <f aca="false">TEXT(EDATE(Overview!$C$8,8-1),"mmm yyyy")</f>
        <v>Aug 2027</v>
      </c>
      <c r="C30" s="22" t="s">
        <v>277</v>
      </c>
      <c r="D30" s="22" t="s">
        <v>278</v>
      </c>
      <c r="E30" s="22" t="s">
        <v>172</v>
      </c>
      <c r="F30" s="19" t="s">
        <v>170</v>
      </c>
    </row>
    <row r="31" customFormat="false" ht="16.5" hidden="false" customHeight="true" outlineLevel="0" collapsed="false">
      <c r="A31" s="13" t="s">
        <v>279</v>
      </c>
      <c r="B31" s="12" t="str">
        <f aca="false">TEXT(EDATE(Overview!$C$8,9-1),"mmm yyyy")</f>
        <v>Sep 2027</v>
      </c>
      <c r="C31" s="12" t="s">
        <v>280</v>
      </c>
      <c r="D31" s="12" t="s">
        <v>281</v>
      </c>
      <c r="E31" s="12" t="s">
        <v>282</v>
      </c>
      <c r="F31" s="13" t="s">
        <v>175</v>
      </c>
    </row>
    <row r="32" customFormat="false" ht="16.5" hidden="false" customHeight="true" outlineLevel="0" collapsed="false">
      <c r="A32" s="13" t="s">
        <v>279</v>
      </c>
      <c r="B32" s="12" t="str">
        <f aca="false">TEXT(EDATE(Overview!$C$8,9-1),"mmm yyyy")</f>
        <v>Sep 2027</v>
      </c>
      <c r="C32" s="12" t="s">
        <v>232</v>
      </c>
      <c r="D32" s="12" t="s">
        <v>283</v>
      </c>
      <c r="E32" s="12" t="s">
        <v>200</v>
      </c>
      <c r="F32" s="13" t="s">
        <v>180</v>
      </c>
    </row>
    <row r="33" customFormat="false" ht="16.5" hidden="false" customHeight="true" outlineLevel="0" collapsed="false">
      <c r="A33" s="19" t="s">
        <v>284</v>
      </c>
      <c r="B33" s="22" t="str">
        <f aca="false">TEXT(EDATE(Overview!$C$8,10-1),"mmm yyyy")</f>
        <v>Oct 2027</v>
      </c>
      <c r="C33" s="22" t="s">
        <v>235</v>
      </c>
      <c r="D33" s="22" t="s">
        <v>285</v>
      </c>
      <c r="E33" s="22" t="s">
        <v>167</v>
      </c>
      <c r="F33" s="19" t="s">
        <v>182</v>
      </c>
    </row>
    <row r="34" customFormat="false" ht="30" hidden="false" customHeight="true" outlineLevel="0" collapsed="false">
      <c r="A34" s="19" t="s">
        <v>284</v>
      </c>
      <c r="B34" s="22" t="str">
        <f aca="false">TEXT(EDATE(Overview!$C$8,10-1),"mmm yyyy")</f>
        <v>Oct 2027</v>
      </c>
      <c r="C34" s="22" t="s">
        <v>277</v>
      </c>
      <c r="D34" s="22" t="s">
        <v>286</v>
      </c>
      <c r="E34" s="22" t="s">
        <v>255</v>
      </c>
      <c r="F34" s="19" t="s">
        <v>287</v>
      </c>
    </row>
    <row r="35" customFormat="false" ht="16.5" hidden="false" customHeight="true" outlineLevel="0" collapsed="false">
      <c r="A35" s="13" t="s">
        <v>288</v>
      </c>
      <c r="B35" s="12" t="str">
        <f aca="false">TEXT(EDATE(Overview!$C$8,11-1),"mmm yyyy")</f>
        <v>Nov 2027</v>
      </c>
      <c r="C35" s="12" t="s">
        <v>235</v>
      </c>
      <c r="D35" s="12" t="s">
        <v>289</v>
      </c>
      <c r="E35" s="12" t="s">
        <v>48</v>
      </c>
      <c r="F35" s="13" t="s">
        <v>185</v>
      </c>
    </row>
    <row r="36" customFormat="false" ht="16.5" hidden="false" customHeight="true" outlineLevel="0" collapsed="false">
      <c r="A36" s="13" t="s">
        <v>288</v>
      </c>
      <c r="B36" s="12" t="str">
        <f aca="false">TEXT(EDATE(Overview!$C$8,11-1),"mmm yyyy")</f>
        <v>Nov 2027</v>
      </c>
      <c r="C36" s="12" t="s">
        <v>277</v>
      </c>
      <c r="D36" s="12" t="s">
        <v>290</v>
      </c>
      <c r="E36" s="12" t="s">
        <v>240</v>
      </c>
      <c r="F36" s="13" t="s">
        <v>291</v>
      </c>
    </row>
    <row r="37" customFormat="false" ht="30" hidden="false" customHeight="true" outlineLevel="0" collapsed="false">
      <c r="A37" s="19" t="s">
        <v>292</v>
      </c>
      <c r="B37" s="22" t="str">
        <f aca="false">TEXT(EDATE(Overview!$C$8,12-1),"mmm yyyy")</f>
        <v>Dec 2027</v>
      </c>
      <c r="C37" s="22" t="s">
        <v>235</v>
      </c>
      <c r="D37" s="22" t="s">
        <v>293</v>
      </c>
      <c r="E37" s="22" t="s">
        <v>195</v>
      </c>
      <c r="F37" s="19" t="s">
        <v>193</v>
      </c>
    </row>
    <row r="38" customFormat="false" ht="16.5" hidden="false" customHeight="true" outlineLevel="0" collapsed="false">
      <c r="A38" s="19" t="s">
        <v>292</v>
      </c>
      <c r="B38" s="22" t="str">
        <f aca="false">TEXT(EDATE(Overview!$C$8,12-1),"mmm yyyy")</f>
        <v>Dec 2027</v>
      </c>
      <c r="C38" s="22" t="s">
        <v>227</v>
      </c>
      <c r="D38" s="22" t="s">
        <v>294</v>
      </c>
      <c r="E38" s="22" t="s">
        <v>270</v>
      </c>
      <c r="F38" s="19" t="s">
        <v>198</v>
      </c>
    </row>
    <row r="39" customFormat="false" ht="30" hidden="false" customHeight="true" outlineLevel="0" collapsed="false">
      <c r="A39" s="19" t="s">
        <v>292</v>
      </c>
      <c r="B39" s="22" t="str">
        <f aca="false">TEXT(EDATE(Overview!$C$8,12-1),"mmm yyyy")</f>
        <v>Dec 2027</v>
      </c>
      <c r="C39" s="22" t="s">
        <v>232</v>
      </c>
      <c r="D39" s="22" t="s">
        <v>295</v>
      </c>
      <c r="E39" s="22" t="s">
        <v>200</v>
      </c>
      <c r="F39" s="19" t="s">
        <v>296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4" min="3" style="0" width="7"/>
    <col collapsed="false" customWidth="true" hidden="false" outlineLevel="0" max="16" min="5" style="0" width="9"/>
  </cols>
  <sheetData>
    <row r="1" customFormat="false" ht="24" hidden="false" customHeight="true" outlineLevel="0" collapsed="false">
      <c r="A1" s="1" t="s">
        <v>297</v>
      </c>
    </row>
    <row r="2" customFormat="false" ht="30" hidden="false" customHeight="true" outlineLevel="0" collapsed="false">
      <c r="A2" s="2" t="s">
        <v>298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E3" s="23" t="n">
        <v>1</v>
      </c>
      <c r="F3" s="23" t="n">
        <v>2</v>
      </c>
      <c r="G3" s="23" t="n">
        <v>3</v>
      </c>
      <c r="H3" s="23" t="n">
        <v>4</v>
      </c>
      <c r="I3" s="23" t="n">
        <v>5</v>
      </c>
      <c r="J3" s="23" t="n">
        <v>6</v>
      </c>
      <c r="K3" s="23" t="n">
        <v>7</v>
      </c>
      <c r="L3" s="23" t="n">
        <v>8</v>
      </c>
      <c r="M3" s="23" t="n">
        <v>9</v>
      </c>
      <c r="N3" s="23" t="n">
        <v>10</v>
      </c>
      <c r="O3" s="23" t="n">
        <v>11</v>
      </c>
      <c r="P3" s="23" t="n">
        <v>12</v>
      </c>
    </row>
    <row r="4" customFormat="false" ht="15" hidden="false" customHeight="false" outlineLevel="0" collapsed="false">
      <c r="A4" s="11" t="s">
        <v>299</v>
      </c>
      <c r="B4" s="11" t="s">
        <v>300</v>
      </c>
      <c r="C4" s="11" t="s">
        <v>301</v>
      </c>
      <c r="D4" s="11" t="s">
        <v>302</v>
      </c>
      <c r="E4" s="11" t="s">
        <v>219</v>
      </c>
      <c r="F4" s="11" t="s">
        <v>234</v>
      </c>
      <c r="G4" s="11" t="s">
        <v>244</v>
      </c>
      <c r="H4" s="11" t="s">
        <v>251</v>
      </c>
      <c r="I4" s="11" t="s">
        <v>257</v>
      </c>
      <c r="J4" s="11" t="s">
        <v>263</v>
      </c>
      <c r="K4" s="11" t="s">
        <v>268</v>
      </c>
      <c r="L4" s="11" t="s">
        <v>274</v>
      </c>
      <c r="M4" s="11" t="s">
        <v>279</v>
      </c>
      <c r="N4" s="11" t="s">
        <v>284</v>
      </c>
      <c r="O4" s="11" t="s">
        <v>288</v>
      </c>
      <c r="P4" s="11" t="s">
        <v>292</v>
      </c>
    </row>
    <row r="5" customFormat="false" ht="15" hidden="false" customHeight="false" outlineLevel="0" collapsed="false">
      <c r="E5" s="24" t="str">
        <f aca="false">TEXT(EDATE(Overview!$C$8,1-1),"mmm")</f>
        <v>Jan</v>
      </c>
      <c r="F5" s="24" t="str">
        <f aca="false">TEXT(EDATE(Overview!$C$8,2-1),"mmm")</f>
        <v>Feb</v>
      </c>
      <c r="G5" s="24" t="str">
        <f aca="false">TEXT(EDATE(Overview!$C$8,3-1),"mmm")</f>
        <v>Mar</v>
      </c>
      <c r="H5" s="24" t="str">
        <f aca="false">TEXT(EDATE(Overview!$C$8,4-1),"mmm")</f>
        <v>Apr</v>
      </c>
      <c r="I5" s="24" t="str">
        <f aca="false">TEXT(EDATE(Overview!$C$8,5-1),"mmm")</f>
        <v>May</v>
      </c>
      <c r="J5" s="24" t="str">
        <f aca="false">TEXT(EDATE(Overview!$C$8,6-1),"mmm")</f>
        <v>Jun</v>
      </c>
      <c r="K5" s="24" t="str">
        <f aca="false">TEXT(EDATE(Overview!$C$8,7-1),"mmm")</f>
        <v>Jul</v>
      </c>
      <c r="L5" s="24" t="str">
        <f aca="false">TEXT(EDATE(Overview!$C$8,8-1),"mmm")</f>
        <v>Aug</v>
      </c>
      <c r="M5" s="24" t="str">
        <f aca="false">TEXT(EDATE(Overview!$C$8,9-1),"mmm")</f>
        <v>Sep</v>
      </c>
      <c r="N5" s="24" t="str">
        <f aca="false">TEXT(EDATE(Overview!$C$8,10-1),"mmm")</f>
        <v>Oct</v>
      </c>
      <c r="O5" s="24" t="str">
        <f aca="false">TEXT(EDATE(Overview!$C$8,11-1),"mmm")</f>
        <v>Nov</v>
      </c>
      <c r="P5" s="24" t="str">
        <f aca="false">TEXT(EDATE(Overview!$C$8,12-1),"mmm")</f>
        <v>Dec</v>
      </c>
    </row>
    <row r="6" customFormat="false" ht="15" hidden="false" customHeight="false" outlineLevel="0" collapsed="false">
      <c r="A6" s="13" t="s">
        <v>303</v>
      </c>
      <c r="B6" s="12" t="s">
        <v>304</v>
      </c>
      <c r="C6" s="25" t="n">
        <v>1</v>
      </c>
      <c r="D6" s="25" t="n">
        <v>1</v>
      </c>
      <c r="E6" s="26" t="n">
        <f aca="false">IF(AND(E$3&gt;=$C6,E$3&lt;=$D6),1,"")</f>
        <v>1</v>
      </c>
      <c r="F6" s="26" t="str">
        <f aca="false">IF(AND(F$3&gt;=$C6,F$3&lt;=$D6),1,"")</f>
        <v/>
      </c>
      <c r="G6" s="26" t="str">
        <f aca="false">IF(AND(G$3&gt;=$C6,G$3&lt;=$D6),1,"")</f>
        <v/>
      </c>
      <c r="H6" s="26" t="str">
        <f aca="false">IF(AND(H$3&gt;=$C6,H$3&lt;=$D6),1,"")</f>
        <v/>
      </c>
      <c r="I6" s="26" t="str">
        <f aca="false">IF(AND(I$3&gt;=$C6,I$3&lt;=$D6),1,"")</f>
        <v/>
      </c>
      <c r="J6" s="26" t="str">
        <f aca="false">IF(AND(J$3&gt;=$C6,J$3&lt;=$D6),1,"")</f>
        <v/>
      </c>
      <c r="K6" s="26" t="str">
        <f aca="false">IF(AND(K$3&gt;=$C6,K$3&lt;=$D6),1,"")</f>
        <v/>
      </c>
      <c r="L6" s="26" t="str">
        <f aca="false">IF(AND(L$3&gt;=$C6,L$3&lt;=$D6),1,"")</f>
        <v/>
      </c>
      <c r="M6" s="26" t="str">
        <f aca="false">IF(AND(M$3&gt;=$C6,M$3&lt;=$D6),1,"")</f>
        <v/>
      </c>
      <c r="N6" s="26" t="str">
        <f aca="false">IF(AND(N$3&gt;=$C6,N$3&lt;=$D6),1,"")</f>
        <v/>
      </c>
      <c r="O6" s="26" t="str">
        <f aca="false">IF(AND(O$3&gt;=$C6,O$3&lt;=$D6),1,"")</f>
        <v/>
      </c>
      <c r="P6" s="26" t="str">
        <f aca="false">IF(AND(P$3&gt;=$C6,P$3&lt;=$D6),1,"")</f>
        <v/>
      </c>
    </row>
    <row r="7" customFormat="false" ht="15" hidden="false" customHeight="false" outlineLevel="0" collapsed="false">
      <c r="A7" s="13"/>
      <c r="B7" s="12" t="s">
        <v>305</v>
      </c>
      <c r="C7" s="25" t="n">
        <v>1</v>
      </c>
      <c r="D7" s="25" t="n">
        <v>2</v>
      </c>
      <c r="E7" s="26" t="n">
        <f aca="false">IF(AND(E$3&gt;=$C7,E$3&lt;=$D7),1,"")</f>
        <v>1</v>
      </c>
      <c r="F7" s="26" t="n">
        <f aca="false">IF(AND(F$3&gt;=$C7,F$3&lt;=$D7),1,"")</f>
        <v>1</v>
      </c>
      <c r="G7" s="26" t="str">
        <f aca="false">IF(AND(G$3&gt;=$C7,G$3&lt;=$D7),1,"")</f>
        <v/>
      </c>
      <c r="H7" s="26" t="str">
        <f aca="false">IF(AND(H$3&gt;=$C7,H$3&lt;=$D7),1,"")</f>
        <v/>
      </c>
      <c r="I7" s="26" t="str">
        <f aca="false">IF(AND(I$3&gt;=$C7,I$3&lt;=$D7),1,"")</f>
        <v/>
      </c>
      <c r="J7" s="26" t="str">
        <f aca="false">IF(AND(J$3&gt;=$C7,J$3&lt;=$D7),1,"")</f>
        <v/>
      </c>
      <c r="K7" s="26" t="str">
        <f aca="false">IF(AND(K$3&gt;=$C7,K$3&lt;=$D7),1,"")</f>
        <v/>
      </c>
      <c r="L7" s="26" t="str">
        <f aca="false">IF(AND(L$3&gt;=$C7,L$3&lt;=$D7),1,"")</f>
        <v/>
      </c>
      <c r="M7" s="26" t="str">
        <f aca="false">IF(AND(M$3&gt;=$C7,M$3&lt;=$D7),1,"")</f>
        <v/>
      </c>
      <c r="N7" s="26" t="str">
        <f aca="false">IF(AND(N$3&gt;=$C7,N$3&lt;=$D7),1,"")</f>
        <v/>
      </c>
      <c r="O7" s="26" t="str">
        <f aca="false">IF(AND(O$3&gt;=$C7,O$3&lt;=$D7),1,"")</f>
        <v/>
      </c>
      <c r="P7" s="26" t="str">
        <f aca="false">IF(AND(P$3&gt;=$C7,P$3&lt;=$D7),1,"")</f>
        <v/>
      </c>
    </row>
    <row r="8" customFormat="false" ht="15" hidden="false" customHeight="false" outlineLevel="0" collapsed="false">
      <c r="A8" s="13"/>
      <c r="B8" s="12" t="s">
        <v>306</v>
      </c>
      <c r="C8" s="25" t="n">
        <v>1</v>
      </c>
      <c r="D8" s="25" t="n">
        <v>1</v>
      </c>
      <c r="E8" s="26" t="n">
        <f aca="false">IF(AND(E$3&gt;=$C8,E$3&lt;=$D8),1,"")</f>
        <v>1</v>
      </c>
      <c r="F8" s="26" t="str">
        <f aca="false">IF(AND(F$3&gt;=$C8,F$3&lt;=$D8),1,"")</f>
        <v/>
      </c>
      <c r="G8" s="26" t="str">
        <f aca="false">IF(AND(G$3&gt;=$C8,G$3&lt;=$D8),1,"")</f>
        <v/>
      </c>
      <c r="H8" s="26" t="str">
        <f aca="false">IF(AND(H$3&gt;=$C8,H$3&lt;=$D8),1,"")</f>
        <v/>
      </c>
      <c r="I8" s="26" t="str">
        <f aca="false">IF(AND(I$3&gt;=$C8,I$3&lt;=$D8),1,"")</f>
        <v/>
      </c>
      <c r="J8" s="26" t="str">
        <f aca="false">IF(AND(J$3&gt;=$C8,J$3&lt;=$D8),1,"")</f>
        <v/>
      </c>
      <c r="K8" s="26" t="str">
        <f aca="false">IF(AND(K$3&gt;=$C8,K$3&lt;=$D8),1,"")</f>
        <v/>
      </c>
      <c r="L8" s="26" t="str">
        <f aca="false">IF(AND(L$3&gt;=$C8,L$3&lt;=$D8),1,"")</f>
        <v/>
      </c>
      <c r="M8" s="26" t="str">
        <f aca="false">IF(AND(M$3&gt;=$C8,M$3&lt;=$D8),1,"")</f>
        <v/>
      </c>
      <c r="N8" s="26" t="str">
        <f aca="false">IF(AND(N$3&gt;=$C8,N$3&lt;=$D8),1,"")</f>
        <v/>
      </c>
      <c r="O8" s="26" t="str">
        <f aca="false">IF(AND(O$3&gt;=$C8,O$3&lt;=$D8),1,"")</f>
        <v/>
      </c>
      <c r="P8" s="26" t="str">
        <f aca="false">IF(AND(P$3&gt;=$C8,P$3&lt;=$D8),1,"")</f>
        <v/>
      </c>
    </row>
    <row r="9" customFormat="false" ht="15" hidden="false" customHeight="false" outlineLevel="0" collapsed="false">
      <c r="A9" s="13" t="s">
        <v>307</v>
      </c>
      <c r="B9" s="12" t="s">
        <v>308</v>
      </c>
      <c r="C9" s="25" t="n">
        <v>1</v>
      </c>
      <c r="D9" s="25" t="n">
        <v>1</v>
      </c>
      <c r="E9" s="26" t="n">
        <f aca="false">IF(AND(E$3&gt;=$C9,E$3&lt;=$D9),1,"")</f>
        <v>1</v>
      </c>
      <c r="F9" s="26" t="str">
        <f aca="false">IF(AND(F$3&gt;=$C9,F$3&lt;=$D9),1,"")</f>
        <v/>
      </c>
      <c r="G9" s="26" t="str">
        <f aca="false">IF(AND(G$3&gt;=$C9,G$3&lt;=$D9),1,"")</f>
        <v/>
      </c>
      <c r="H9" s="26" t="str">
        <f aca="false">IF(AND(H$3&gt;=$C9,H$3&lt;=$D9),1,"")</f>
        <v/>
      </c>
      <c r="I9" s="26" t="str">
        <f aca="false">IF(AND(I$3&gt;=$C9,I$3&lt;=$D9),1,"")</f>
        <v/>
      </c>
      <c r="J9" s="26" t="str">
        <f aca="false">IF(AND(J$3&gt;=$C9,J$3&lt;=$D9),1,"")</f>
        <v/>
      </c>
      <c r="K9" s="26" t="str">
        <f aca="false">IF(AND(K$3&gt;=$C9,K$3&lt;=$D9),1,"")</f>
        <v/>
      </c>
      <c r="L9" s="26" t="str">
        <f aca="false">IF(AND(L$3&gt;=$C9,L$3&lt;=$D9),1,"")</f>
        <v/>
      </c>
      <c r="M9" s="26" t="str">
        <f aca="false">IF(AND(M$3&gt;=$C9,M$3&lt;=$D9),1,"")</f>
        <v/>
      </c>
      <c r="N9" s="26" t="str">
        <f aca="false">IF(AND(N$3&gt;=$C9,N$3&lt;=$D9),1,"")</f>
        <v/>
      </c>
      <c r="O9" s="26" t="str">
        <f aca="false">IF(AND(O$3&gt;=$C9,O$3&lt;=$D9),1,"")</f>
        <v/>
      </c>
      <c r="P9" s="26" t="str">
        <f aca="false">IF(AND(P$3&gt;=$C9,P$3&lt;=$D9),1,"")</f>
        <v/>
      </c>
    </row>
    <row r="10" customFormat="false" ht="15" hidden="false" customHeight="false" outlineLevel="0" collapsed="false">
      <c r="A10" s="13"/>
      <c r="B10" s="12" t="s">
        <v>309</v>
      </c>
      <c r="C10" s="25" t="n">
        <v>1</v>
      </c>
      <c r="D10" s="25" t="n">
        <v>2</v>
      </c>
      <c r="E10" s="26" t="n">
        <f aca="false">IF(AND(E$3&gt;=$C10,E$3&lt;=$D10),1,"")</f>
        <v>1</v>
      </c>
      <c r="F10" s="26" t="n">
        <f aca="false">IF(AND(F$3&gt;=$C10,F$3&lt;=$D10),1,"")</f>
        <v>1</v>
      </c>
      <c r="G10" s="26" t="str">
        <f aca="false">IF(AND(G$3&gt;=$C10,G$3&lt;=$D10),1,"")</f>
        <v/>
      </c>
      <c r="H10" s="26" t="str">
        <f aca="false">IF(AND(H$3&gt;=$C10,H$3&lt;=$D10),1,"")</f>
        <v/>
      </c>
      <c r="I10" s="26" t="str">
        <f aca="false">IF(AND(I$3&gt;=$C10,I$3&lt;=$D10),1,"")</f>
        <v/>
      </c>
      <c r="J10" s="26" t="str">
        <f aca="false">IF(AND(J$3&gt;=$C10,J$3&lt;=$D10),1,"")</f>
        <v/>
      </c>
      <c r="K10" s="26" t="str">
        <f aca="false">IF(AND(K$3&gt;=$C10,K$3&lt;=$D10),1,"")</f>
        <v/>
      </c>
      <c r="L10" s="26" t="str">
        <f aca="false">IF(AND(L$3&gt;=$C10,L$3&lt;=$D10),1,"")</f>
        <v/>
      </c>
      <c r="M10" s="26" t="str">
        <f aca="false">IF(AND(M$3&gt;=$C10,M$3&lt;=$D10),1,"")</f>
        <v/>
      </c>
      <c r="N10" s="26" t="str">
        <f aca="false">IF(AND(N$3&gt;=$C10,N$3&lt;=$D10),1,"")</f>
        <v/>
      </c>
      <c r="O10" s="26" t="str">
        <f aca="false">IF(AND(O$3&gt;=$C10,O$3&lt;=$D10),1,"")</f>
        <v/>
      </c>
      <c r="P10" s="26" t="str">
        <f aca="false">IF(AND(P$3&gt;=$C10,P$3&lt;=$D10),1,"")</f>
        <v/>
      </c>
    </row>
    <row r="11" customFormat="false" ht="15" hidden="false" customHeight="false" outlineLevel="0" collapsed="false">
      <c r="A11" s="13"/>
      <c r="B11" s="12" t="s">
        <v>310</v>
      </c>
      <c r="C11" s="25" t="n">
        <v>1</v>
      </c>
      <c r="D11" s="25" t="n">
        <v>3</v>
      </c>
      <c r="E11" s="26" t="n">
        <f aca="false">IF(AND(E$3&gt;=$C11,E$3&lt;=$D11),1,"")</f>
        <v>1</v>
      </c>
      <c r="F11" s="26" t="n">
        <f aca="false">IF(AND(F$3&gt;=$C11,F$3&lt;=$D11),1,"")</f>
        <v>1</v>
      </c>
      <c r="G11" s="26" t="n">
        <f aca="false">IF(AND(G$3&gt;=$C11,G$3&lt;=$D11),1,"")</f>
        <v>1</v>
      </c>
      <c r="H11" s="26" t="str">
        <f aca="false">IF(AND(H$3&gt;=$C11,H$3&lt;=$D11),1,"")</f>
        <v/>
      </c>
      <c r="I11" s="26" t="str">
        <f aca="false">IF(AND(I$3&gt;=$C11,I$3&lt;=$D11),1,"")</f>
        <v/>
      </c>
      <c r="J11" s="26" t="str">
        <f aca="false">IF(AND(J$3&gt;=$C11,J$3&lt;=$D11),1,"")</f>
        <v/>
      </c>
      <c r="K11" s="26" t="str">
        <f aca="false">IF(AND(K$3&gt;=$C11,K$3&lt;=$D11),1,"")</f>
        <v/>
      </c>
      <c r="L11" s="26" t="str">
        <f aca="false">IF(AND(L$3&gt;=$C11,L$3&lt;=$D11),1,"")</f>
        <v/>
      </c>
      <c r="M11" s="26" t="str">
        <f aca="false">IF(AND(M$3&gt;=$C11,M$3&lt;=$D11),1,"")</f>
        <v/>
      </c>
      <c r="N11" s="26" t="str">
        <f aca="false">IF(AND(N$3&gt;=$C11,N$3&lt;=$D11),1,"")</f>
        <v/>
      </c>
      <c r="O11" s="26" t="str">
        <f aca="false">IF(AND(O$3&gt;=$C11,O$3&lt;=$D11),1,"")</f>
        <v/>
      </c>
      <c r="P11" s="26" t="str">
        <f aca="false">IF(AND(P$3&gt;=$C11,P$3&lt;=$D11),1,"")</f>
        <v/>
      </c>
    </row>
    <row r="12" customFormat="false" ht="15" hidden="false" customHeight="false" outlineLevel="0" collapsed="false">
      <c r="A12" s="13"/>
      <c r="B12" s="12" t="s">
        <v>311</v>
      </c>
      <c r="C12" s="25" t="n">
        <v>1</v>
      </c>
      <c r="D12" s="25" t="n">
        <v>3</v>
      </c>
      <c r="E12" s="26" t="n">
        <f aca="false">IF(AND(E$3&gt;=$C12,E$3&lt;=$D12),1,"")</f>
        <v>1</v>
      </c>
      <c r="F12" s="26" t="n">
        <f aca="false">IF(AND(F$3&gt;=$C12,F$3&lt;=$D12),1,"")</f>
        <v>1</v>
      </c>
      <c r="G12" s="26" t="n">
        <f aca="false">IF(AND(G$3&gt;=$C12,G$3&lt;=$D12),1,"")</f>
        <v>1</v>
      </c>
      <c r="H12" s="26" t="str">
        <f aca="false">IF(AND(H$3&gt;=$C12,H$3&lt;=$D12),1,"")</f>
        <v/>
      </c>
      <c r="I12" s="26" t="str">
        <f aca="false">IF(AND(I$3&gt;=$C12,I$3&lt;=$D12),1,"")</f>
        <v/>
      </c>
      <c r="J12" s="26" t="str">
        <f aca="false">IF(AND(J$3&gt;=$C12,J$3&lt;=$D12),1,"")</f>
        <v/>
      </c>
      <c r="K12" s="26" t="str">
        <f aca="false">IF(AND(K$3&gt;=$C12,K$3&lt;=$D12),1,"")</f>
        <v/>
      </c>
      <c r="L12" s="26" t="str">
        <f aca="false">IF(AND(L$3&gt;=$C12,L$3&lt;=$D12),1,"")</f>
        <v/>
      </c>
      <c r="M12" s="26" t="str">
        <f aca="false">IF(AND(M$3&gt;=$C12,M$3&lt;=$D12),1,"")</f>
        <v/>
      </c>
      <c r="N12" s="26" t="str">
        <f aca="false">IF(AND(N$3&gt;=$C12,N$3&lt;=$D12),1,"")</f>
        <v/>
      </c>
      <c r="O12" s="26" t="str">
        <f aca="false">IF(AND(O$3&gt;=$C12,O$3&lt;=$D12),1,"")</f>
        <v/>
      </c>
      <c r="P12" s="26" t="str">
        <f aca="false">IF(AND(P$3&gt;=$C12,P$3&lt;=$D12),1,"")</f>
        <v/>
      </c>
    </row>
    <row r="13" customFormat="false" ht="15" hidden="false" customHeight="false" outlineLevel="0" collapsed="false">
      <c r="A13" s="13"/>
      <c r="B13" s="12" t="s">
        <v>312</v>
      </c>
      <c r="C13" s="25" t="n">
        <v>1</v>
      </c>
      <c r="D13" s="25" t="n">
        <v>3</v>
      </c>
      <c r="E13" s="26" t="n">
        <f aca="false">IF(AND(E$3&gt;=$C13,E$3&lt;=$D13),1,"")</f>
        <v>1</v>
      </c>
      <c r="F13" s="26" t="n">
        <f aca="false">IF(AND(F$3&gt;=$C13,F$3&lt;=$D13),1,"")</f>
        <v>1</v>
      </c>
      <c r="G13" s="26" t="n">
        <f aca="false">IF(AND(G$3&gt;=$C13,G$3&lt;=$D13),1,"")</f>
        <v>1</v>
      </c>
      <c r="H13" s="26" t="str">
        <f aca="false">IF(AND(H$3&gt;=$C13,H$3&lt;=$D13),1,"")</f>
        <v/>
      </c>
      <c r="I13" s="26" t="str">
        <f aca="false">IF(AND(I$3&gt;=$C13,I$3&lt;=$D13),1,"")</f>
        <v/>
      </c>
      <c r="J13" s="26" t="str">
        <f aca="false">IF(AND(J$3&gt;=$C13,J$3&lt;=$D13),1,"")</f>
        <v/>
      </c>
      <c r="K13" s="26" t="str">
        <f aca="false">IF(AND(K$3&gt;=$C13,K$3&lt;=$D13),1,"")</f>
        <v/>
      </c>
      <c r="L13" s="26" t="str">
        <f aca="false">IF(AND(L$3&gt;=$C13,L$3&lt;=$D13),1,"")</f>
        <v/>
      </c>
      <c r="M13" s="26" t="str">
        <f aca="false">IF(AND(M$3&gt;=$C13,M$3&lt;=$D13),1,"")</f>
        <v/>
      </c>
      <c r="N13" s="26" t="str">
        <f aca="false">IF(AND(N$3&gt;=$C13,N$3&lt;=$D13),1,"")</f>
        <v/>
      </c>
      <c r="O13" s="26" t="str">
        <f aca="false">IF(AND(O$3&gt;=$C13,O$3&lt;=$D13),1,"")</f>
        <v/>
      </c>
      <c r="P13" s="26" t="str">
        <f aca="false">IF(AND(P$3&gt;=$C13,P$3&lt;=$D13),1,"")</f>
        <v/>
      </c>
    </row>
    <row r="14" customFormat="false" ht="15" hidden="false" customHeight="false" outlineLevel="0" collapsed="false">
      <c r="A14" s="13"/>
      <c r="B14" s="12" t="s">
        <v>313</v>
      </c>
      <c r="C14" s="25" t="n">
        <v>2</v>
      </c>
      <c r="D14" s="25" t="n">
        <v>3</v>
      </c>
      <c r="E14" s="26" t="str">
        <f aca="false">IF(AND(E$3&gt;=$C14,E$3&lt;=$D14),1,"")</f>
        <v/>
      </c>
      <c r="F14" s="26" t="n">
        <f aca="false">IF(AND(F$3&gt;=$C14,F$3&lt;=$D14),1,"")</f>
        <v>1</v>
      </c>
      <c r="G14" s="26" t="n">
        <f aca="false">IF(AND(G$3&gt;=$C14,G$3&lt;=$D14),1,"")</f>
        <v>1</v>
      </c>
      <c r="H14" s="26" t="str">
        <f aca="false">IF(AND(H$3&gt;=$C14,H$3&lt;=$D14),1,"")</f>
        <v/>
      </c>
      <c r="I14" s="26" t="str">
        <f aca="false">IF(AND(I$3&gt;=$C14,I$3&lt;=$D14),1,"")</f>
        <v/>
      </c>
      <c r="J14" s="26" t="str">
        <f aca="false">IF(AND(J$3&gt;=$C14,J$3&lt;=$D14),1,"")</f>
        <v/>
      </c>
      <c r="K14" s="26" t="str">
        <f aca="false">IF(AND(K$3&gt;=$C14,K$3&lt;=$D14),1,"")</f>
        <v/>
      </c>
      <c r="L14" s="26" t="str">
        <f aca="false">IF(AND(L$3&gt;=$C14,L$3&lt;=$D14),1,"")</f>
        <v/>
      </c>
      <c r="M14" s="26" t="str">
        <f aca="false">IF(AND(M$3&gt;=$C14,M$3&lt;=$D14),1,"")</f>
        <v/>
      </c>
      <c r="N14" s="26" t="str">
        <f aca="false">IF(AND(N$3&gt;=$C14,N$3&lt;=$D14),1,"")</f>
        <v/>
      </c>
      <c r="O14" s="26" t="str">
        <f aca="false">IF(AND(O$3&gt;=$C14,O$3&lt;=$D14),1,"")</f>
        <v/>
      </c>
      <c r="P14" s="26" t="str">
        <f aca="false">IF(AND(P$3&gt;=$C14,P$3&lt;=$D14),1,"")</f>
        <v/>
      </c>
    </row>
    <row r="15" customFormat="false" ht="15" hidden="false" customHeight="false" outlineLevel="0" collapsed="false">
      <c r="A15" s="13" t="s">
        <v>314</v>
      </c>
      <c r="B15" s="12" t="s">
        <v>315</v>
      </c>
      <c r="C15" s="25" t="n">
        <v>4</v>
      </c>
      <c r="D15" s="25" t="n">
        <v>4</v>
      </c>
      <c r="E15" s="26" t="str">
        <f aca="false">IF(AND(E$3&gt;=$C15,E$3&lt;=$D15),1,"")</f>
        <v/>
      </c>
      <c r="F15" s="26" t="str">
        <f aca="false">IF(AND(F$3&gt;=$C15,F$3&lt;=$D15),1,"")</f>
        <v/>
      </c>
      <c r="G15" s="26" t="str">
        <f aca="false">IF(AND(G$3&gt;=$C15,G$3&lt;=$D15),1,"")</f>
        <v/>
      </c>
      <c r="H15" s="26" t="n">
        <f aca="false">IF(AND(H$3&gt;=$C15,H$3&lt;=$D15),1,"")</f>
        <v>1</v>
      </c>
      <c r="I15" s="26" t="str">
        <f aca="false">IF(AND(I$3&gt;=$C15,I$3&lt;=$D15),1,"")</f>
        <v/>
      </c>
      <c r="J15" s="26" t="str">
        <f aca="false">IF(AND(J$3&gt;=$C15,J$3&lt;=$D15),1,"")</f>
        <v/>
      </c>
      <c r="K15" s="26" t="str">
        <f aca="false">IF(AND(K$3&gt;=$C15,K$3&lt;=$D15),1,"")</f>
        <v/>
      </c>
      <c r="L15" s="26" t="str">
        <f aca="false">IF(AND(L$3&gt;=$C15,L$3&lt;=$D15),1,"")</f>
        <v/>
      </c>
      <c r="M15" s="26" t="str">
        <f aca="false">IF(AND(M$3&gt;=$C15,M$3&lt;=$D15),1,"")</f>
        <v/>
      </c>
      <c r="N15" s="26" t="str">
        <f aca="false">IF(AND(N$3&gt;=$C15,N$3&lt;=$D15),1,"")</f>
        <v/>
      </c>
      <c r="O15" s="26" t="str">
        <f aca="false">IF(AND(O$3&gt;=$C15,O$3&lt;=$D15),1,"")</f>
        <v/>
      </c>
      <c r="P15" s="26" t="str">
        <f aca="false">IF(AND(P$3&gt;=$C15,P$3&lt;=$D15),1,"")</f>
        <v/>
      </c>
    </row>
    <row r="16" customFormat="false" ht="15" hidden="false" customHeight="false" outlineLevel="0" collapsed="false">
      <c r="A16" s="13"/>
      <c r="B16" s="12" t="s">
        <v>316</v>
      </c>
      <c r="C16" s="25" t="n">
        <v>4</v>
      </c>
      <c r="D16" s="25" t="n">
        <v>5</v>
      </c>
      <c r="E16" s="26" t="str">
        <f aca="false">IF(AND(E$3&gt;=$C16,E$3&lt;=$D16),1,"")</f>
        <v/>
      </c>
      <c r="F16" s="26" t="str">
        <f aca="false">IF(AND(F$3&gt;=$C16,F$3&lt;=$D16),1,"")</f>
        <v/>
      </c>
      <c r="G16" s="26" t="str">
        <f aca="false">IF(AND(G$3&gt;=$C16,G$3&lt;=$D16),1,"")</f>
        <v/>
      </c>
      <c r="H16" s="26" t="n">
        <f aca="false">IF(AND(H$3&gt;=$C16,H$3&lt;=$D16),1,"")</f>
        <v>1</v>
      </c>
      <c r="I16" s="26" t="n">
        <f aca="false">IF(AND(I$3&gt;=$C16,I$3&lt;=$D16),1,"")</f>
        <v>1</v>
      </c>
      <c r="J16" s="26" t="str">
        <f aca="false">IF(AND(J$3&gt;=$C16,J$3&lt;=$D16),1,"")</f>
        <v/>
      </c>
      <c r="K16" s="26" t="str">
        <f aca="false">IF(AND(K$3&gt;=$C16,K$3&lt;=$D16),1,"")</f>
        <v/>
      </c>
      <c r="L16" s="26" t="str">
        <f aca="false">IF(AND(L$3&gt;=$C16,L$3&lt;=$D16),1,"")</f>
        <v/>
      </c>
      <c r="M16" s="26" t="str">
        <f aca="false">IF(AND(M$3&gt;=$C16,M$3&lt;=$D16),1,"")</f>
        <v/>
      </c>
      <c r="N16" s="26" t="str">
        <f aca="false">IF(AND(N$3&gt;=$C16,N$3&lt;=$D16),1,"")</f>
        <v/>
      </c>
      <c r="O16" s="26" t="str">
        <f aca="false">IF(AND(O$3&gt;=$C16,O$3&lt;=$D16),1,"")</f>
        <v/>
      </c>
      <c r="P16" s="26" t="str">
        <f aca="false">IF(AND(P$3&gt;=$C16,P$3&lt;=$D16),1,"")</f>
        <v/>
      </c>
    </row>
    <row r="17" customFormat="false" ht="15" hidden="false" customHeight="false" outlineLevel="0" collapsed="false">
      <c r="A17" s="13"/>
      <c r="B17" s="12" t="s">
        <v>317</v>
      </c>
      <c r="C17" s="25" t="n">
        <v>5</v>
      </c>
      <c r="D17" s="25" t="n">
        <v>5</v>
      </c>
      <c r="E17" s="26" t="str">
        <f aca="false">IF(AND(E$3&gt;=$C17,E$3&lt;=$D17),1,"")</f>
        <v/>
      </c>
      <c r="F17" s="26" t="str">
        <f aca="false">IF(AND(F$3&gt;=$C17,F$3&lt;=$D17),1,"")</f>
        <v/>
      </c>
      <c r="G17" s="26" t="str">
        <f aca="false">IF(AND(G$3&gt;=$C17,G$3&lt;=$D17),1,"")</f>
        <v/>
      </c>
      <c r="H17" s="26" t="str">
        <f aca="false">IF(AND(H$3&gt;=$C17,H$3&lt;=$D17),1,"")</f>
        <v/>
      </c>
      <c r="I17" s="26" t="n">
        <f aca="false">IF(AND(I$3&gt;=$C17,I$3&lt;=$D17),1,"")</f>
        <v>1</v>
      </c>
      <c r="J17" s="26" t="str">
        <f aca="false">IF(AND(J$3&gt;=$C17,J$3&lt;=$D17),1,"")</f>
        <v/>
      </c>
      <c r="K17" s="26" t="str">
        <f aca="false">IF(AND(K$3&gt;=$C17,K$3&lt;=$D17),1,"")</f>
        <v/>
      </c>
      <c r="L17" s="26" t="str">
        <f aca="false">IF(AND(L$3&gt;=$C17,L$3&lt;=$D17),1,"")</f>
        <v/>
      </c>
      <c r="M17" s="26" t="str">
        <f aca="false">IF(AND(M$3&gt;=$C17,M$3&lt;=$D17),1,"")</f>
        <v/>
      </c>
      <c r="N17" s="26" t="str">
        <f aca="false">IF(AND(N$3&gt;=$C17,N$3&lt;=$D17),1,"")</f>
        <v/>
      </c>
      <c r="O17" s="26" t="str">
        <f aca="false">IF(AND(O$3&gt;=$C17,O$3&lt;=$D17),1,"")</f>
        <v/>
      </c>
      <c r="P17" s="26" t="str">
        <f aca="false">IF(AND(P$3&gt;=$C17,P$3&lt;=$D17),1,"")</f>
        <v/>
      </c>
    </row>
    <row r="18" customFormat="false" ht="15" hidden="false" customHeight="false" outlineLevel="0" collapsed="false">
      <c r="A18" s="13"/>
      <c r="B18" s="12" t="s">
        <v>318</v>
      </c>
      <c r="C18" s="25" t="n">
        <v>6</v>
      </c>
      <c r="D18" s="25" t="n">
        <v>6</v>
      </c>
      <c r="E18" s="26" t="str">
        <f aca="false">IF(AND(E$3&gt;=$C18,E$3&lt;=$D18),1,"")</f>
        <v/>
      </c>
      <c r="F18" s="26" t="str">
        <f aca="false">IF(AND(F$3&gt;=$C18,F$3&lt;=$D18),1,"")</f>
        <v/>
      </c>
      <c r="G18" s="26" t="str">
        <f aca="false">IF(AND(G$3&gt;=$C18,G$3&lt;=$D18),1,"")</f>
        <v/>
      </c>
      <c r="H18" s="26" t="str">
        <f aca="false">IF(AND(H$3&gt;=$C18,H$3&lt;=$D18),1,"")</f>
        <v/>
      </c>
      <c r="I18" s="26" t="str">
        <f aca="false">IF(AND(I$3&gt;=$C18,I$3&lt;=$D18),1,"")</f>
        <v/>
      </c>
      <c r="J18" s="26" t="n">
        <f aca="false">IF(AND(J$3&gt;=$C18,J$3&lt;=$D18),1,"")</f>
        <v>1</v>
      </c>
      <c r="K18" s="26" t="str">
        <f aca="false">IF(AND(K$3&gt;=$C18,K$3&lt;=$D18),1,"")</f>
        <v/>
      </c>
      <c r="L18" s="26" t="str">
        <f aca="false">IF(AND(L$3&gt;=$C18,L$3&lt;=$D18),1,"")</f>
        <v/>
      </c>
      <c r="M18" s="26" t="str">
        <f aca="false">IF(AND(M$3&gt;=$C18,M$3&lt;=$D18),1,"")</f>
        <v/>
      </c>
      <c r="N18" s="26" t="str">
        <f aca="false">IF(AND(N$3&gt;=$C18,N$3&lt;=$D18),1,"")</f>
        <v/>
      </c>
      <c r="O18" s="26" t="str">
        <f aca="false">IF(AND(O$3&gt;=$C18,O$3&lt;=$D18),1,"")</f>
        <v/>
      </c>
      <c r="P18" s="26" t="str">
        <f aca="false">IF(AND(P$3&gt;=$C18,P$3&lt;=$D18),1,"")</f>
        <v/>
      </c>
    </row>
    <row r="19" customFormat="false" ht="15" hidden="false" customHeight="false" outlineLevel="0" collapsed="false">
      <c r="A19" s="13"/>
      <c r="B19" s="12" t="s">
        <v>319</v>
      </c>
      <c r="C19" s="25" t="n">
        <v>6</v>
      </c>
      <c r="D19" s="25" t="n">
        <v>6</v>
      </c>
      <c r="E19" s="26" t="str">
        <f aca="false">IF(AND(E$3&gt;=$C19,E$3&lt;=$D19),1,"")</f>
        <v/>
      </c>
      <c r="F19" s="26" t="str">
        <f aca="false">IF(AND(F$3&gt;=$C19,F$3&lt;=$D19),1,"")</f>
        <v/>
      </c>
      <c r="G19" s="26" t="str">
        <f aca="false">IF(AND(G$3&gt;=$C19,G$3&lt;=$D19),1,"")</f>
        <v/>
      </c>
      <c r="H19" s="26" t="str">
        <f aca="false">IF(AND(H$3&gt;=$C19,H$3&lt;=$D19),1,"")</f>
        <v/>
      </c>
      <c r="I19" s="26" t="str">
        <f aca="false">IF(AND(I$3&gt;=$C19,I$3&lt;=$D19),1,"")</f>
        <v/>
      </c>
      <c r="J19" s="26" t="n">
        <f aca="false">IF(AND(J$3&gt;=$C19,J$3&lt;=$D19),1,"")</f>
        <v>1</v>
      </c>
      <c r="K19" s="26" t="str">
        <f aca="false">IF(AND(K$3&gt;=$C19,K$3&lt;=$D19),1,"")</f>
        <v/>
      </c>
      <c r="L19" s="26" t="str">
        <f aca="false">IF(AND(L$3&gt;=$C19,L$3&lt;=$D19),1,"")</f>
        <v/>
      </c>
      <c r="M19" s="26" t="str">
        <f aca="false">IF(AND(M$3&gt;=$C19,M$3&lt;=$D19),1,"")</f>
        <v/>
      </c>
      <c r="N19" s="26" t="str">
        <f aca="false">IF(AND(N$3&gt;=$C19,N$3&lt;=$D19),1,"")</f>
        <v/>
      </c>
      <c r="O19" s="26" t="str">
        <f aca="false">IF(AND(O$3&gt;=$C19,O$3&lt;=$D19),1,"")</f>
        <v/>
      </c>
      <c r="P19" s="26" t="str">
        <f aca="false">IF(AND(P$3&gt;=$C19,P$3&lt;=$D19),1,"")</f>
        <v/>
      </c>
    </row>
    <row r="20" customFormat="false" ht="15" hidden="false" customHeight="false" outlineLevel="0" collapsed="false">
      <c r="A20" s="13" t="s">
        <v>320</v>
      </c>
      <c r="B20" s="12" t="s">
        <v>321</v>
      </c>
      <c r="C20" s="25" t="n">
        <v>7</v>
      </c>
      <c r="D20" s="25" t="n">
        <v>12</v>
      </c>
      <c r="E20" s="26" t="str">
        <f aca="false">IF(AND(E$3&gt;=$C20,E$3&lt;=$D20),1,"")</f>
        <v/>
      </c>
      <c r="F20" s="26" t="str">
        <f aca="false">IF(AND(F$3&gt;=$C20,F$3&lt;=$D20),1,"")</f>
        <v/>
      </c>
      <c r="G20" s="26" t="str">
        <f aca="false">IF(AND(G$3&gt;=$C20,G$3&lt;=$D20),1,"")</f>
        <v/>
      </c>
      <c r="H20" s="26" t="str">
        <f aca="false">IF(AND(H$3&gt;=$C20,H$3&lt;=$D20),1,"")</f>
        <v/>
      </c>
      <c r="I20" s="26" t="str">
        <f aca="false">IF(AND(I$3&gt;=$C20,I$3&lt;=$D20),1,"")</f>
        <v/>
      </c>
      <c r="J20" s="26" t="str">
        <f aca="false">IF(AND(J$3&gt;=$C20,J$3&lt;=$D20),1,"")</f>
        <v/>
      </c>
      <c r="K20" s="26" t="n">
        <f aca="false">IF(AND(K$3&gt;=$C20,K$3&lt;=$D20),1,"")</f>
        <v>1</v>
      </c>
      <c r="L20" s="26" t="n">
        <f aca="false">IF(AND(L$3&gt;=$C20,L$3&lt;=$D20),1,"")</f>
        <v>1</v>
      </c>
      <c r="M20" s="26" t="n">
        <f aca="false">IF(AND(M$3&gt;=$C20,M$3&lt;=$D20),1,"")</f>
        <v>1</v>
      </c>
      <c r="N20" s="26" t="n">
        <f aca="false">IF(AND(N$3&gt;=$C20,N$3&lt;=$D20),1,"")</f>
        <v>1</v>
      </c>
      <c r="O20" s="26" t="n">
        <f aca="false">IF(AND(O$3&gt;=$C20,O$3&lt;=$D20),1,"")</f>
        <v>1</v>
      </c>
      <c r="P20" s="26" t="n">
        <f aca="false">IF(AND(P$3&gt;=$C20,P$3&lt;=$D20),1,"")</f>
        <v>1</v>
      </c>
    </row>
    <row r="21" customFormat="false" ht="15" hidden="false" customHeight="false" outlineLevel="0" collapsed="false">
      <c r="A21" s="13"/>
      <c r="B21" s="12" t="s">
        <v>322</v>
      </c>
      <c r="C21" s="25" t="n">
        <v>8</v>
      </c>
      <c r="D21" s="25" t="n">
        <v>10</v>
      </c>
      <c r="E21" s="26" t="str">
        <f aca="false">IF(AND(E$3&gt;=$C21,E$3&lt;=$D21),1,"")</f>
        <v/>
      </c>
      <c r="F21" s="26" t="str">
        <f aca="false">IF(AND(F$3&gt;=$C21,F$3&lt;=$D21),1,"")</f>
        <v/>
      </c>
      <c r="G21" s="26" t="str">
        <f aca="false">IF(AND(G$3&gt;=$C21,G$3&lt;=$D21),1,"")</f>
        <v/>
      </c>
      <c r="H21" s="26" t="str">
        <f aca="false">IF(AND(H$3&gt;=$C21,H$3&lt;=$D21),1,"")</f>
        <v/>
      </c>
      <c r="I21" s="26" t="str">
        <f aca="false">IF(AND(I$3&gt;=$C21,I$3&lt;=$D21),1,"")</f>
        <v/>
      </c>
      <c r="J21" s="26" t="str">
        <f aca="false">IF(AND(J$3&gt;=$C21,J$3&lt;=$D21),1,"")</f>
        <v/>
      </c>
      <c r="K21" s="26" t="str">
        <f aca="false">IF(AND(K$3&gt;=$C21,K$3&lt;=$D21),1,"")</f>
        <v/>
      </c>
      <c r="L21" s="26" t="n">
        <f aca="false">IF(AND(L$3&gt;=$C21,L$3&lt;=$D21),1,"")</f>
        <v>1</v>
      </c>
      <c r="M21" s="26" t="n">
        <f aca="false">IF(AND(M$3&gt;=$C21,M$3&lt;=$D21),1,"")</f>
        <v>1</v>
      </c>
      <c r="N21" s="26" t="n">
        <f aca="false">IF(AND(N$3&gt;=$C21,N$3&lt;=$D21),1,"")</f>
        <v>1</v>
      </c>
      <c r="O21" s="26" t="str">
        <f aca="false">IF(AND(O$3&gt;=$C21,O$3&lt;=$D21),1,"")</f>
        <v/>
      </c>
      <c r="P21" s="26" t="str">
        <f aca="false">IF(AND(P$3&gt;=$C21,P$3&lt;=$D21),1,"")</f>
        <v/>
      </c>
    </row>
    <row r="22" customFormat="false" ht="15" hidden="false" customHeight="false" outlineLevel="0" collapsed="false">
      <c r="A22" s="13"/>
      <c r="B22" s="12" t="s">
        <v>323</v>
      </c>
      <c r="C22" s="25" t="n">
        <v>8</v>
      </c>
      <c r="D22" s="25" t="n">
        <v>11</v>
      </c>
      <c r="E22" s="26" t="str">
        <f aca="false">IF(AND(E$3&gt;=$C22,E$3&lt;=$D22),1,"")</f>
        <v/>
      </c>
      <c r="F22" s="26" t="str">
        <f aca="false">IF(AND(F$3&gt;=$C22,F$3&lt;=$D22),1,"")</f>
        <v/>
      </c>
      <c r="G22" s="26" t="str">
        <f aca="false">IF(AND(G$3&gt;=$C22,G$3&lt;=$D22),1,"")</f>
        <v/>
      </c>
      <c r="H22" s="26" t="str">
        <f aca="false">IF(AND(H$3&gt;=$C22,H$3&lt;=$D22),1,"")</f>
        <v/>
      </c>
      <c r="I22" s="26" t="str">
        <f aca="false">IF(AND(I$3&gt;=$C22,I$3&lt;=$D22),1,"")</f>
        <v/>
      </c>
      <c r="J22" s="26" t="str">
        <f aca="false">IF(AND(J$3&gt;=$C22,J$3&lt;=$D22),1,"")</f>
        <v/>
      </c>
      <c r="K22" s="26" t="str">
        <f aca="false">IF(AND(K$3&gt;=$C22,K$3&lt;=$D22),1,"")</f>
        <v/>
      </c>
      <c r="L22" s="26" t="n">
        <f aca="false">IF(AND(L$3&gt;=$C22,L$3&lt;=$D22),1,"")</f>
        <v>1</v>
      </c>
      <c r="M22" s="26" t="n">
        <f aca="false">IF(AND(M$3&gt;=$C22,M$3&lt;=$D22),1,"")</f>
        <v>1</v>
      </c>
      <c r="N22" s="26" t="n">
        <f aca="false">IF(AND(N$3&gt;=$C22,N$3&lt;=$D22),1,"")</f>
        <v>1</v>
      </c>
      <c r="O22" s="26" t="n">
        <f aca="false">IF(AND(O$3&gt;=$C22,O$3&lt;=$D22),1,"")</f>
        <v>1</v>
      </c>
      <c r="P22" s="26" t="str">
        <f aca="false">IF(AND(P$3&gt;=$C22,P$3&lt;=$D22),1,"")</f>
        <v/>
      </c>
    </row>
    <row r="23" customFormat="false" ht="15" hidden="false" customHeight="false" outlineLevel="0" collapsed="false">
      <c r="A23" s="13"/>
      <c r="B23" s="12" t="s">
        <v>324</v>
      </c>
      <c r="C23" s="25" t="n">
        <v>9</v>
      </c>
      <c r="D23" s="25" t="n">
        <v>9</v>
      </c>
      <c r="E23" s="26" t="str">
        <f aca="false">IF(AND(E$3&gt;=$C23,E$3&lt;=$D23),1,"")</f>
        <v/>
      </c>
      <c r="F23" s="26" t="str">
        <f aca="false">IF(AND(F$3&gt;=$C23,F$3&lt;=$D23),1,"")</f>
        <v/>
      </c>
      <c r="G23" s="26" t="str">
        <f aca="false">IF(AND(G$3&gt;=$C23,G$3&lt;=$D23),1,"")</f>
        <v/>
      </c>
      <c r="H23" s="26" t="str">
        <f aca="false">IF(AND(H$3&gt;=$C23,H$3&lt;=$D23),1,"")</f>
        <v/>
      </c>
      <c r="I23" s="26" t="str">
        <f aca="false">IF(AND(I$3&gt;=$C23,I$3&lt;=$D23),1,"")</f>
        <v/>
      </c>
      <c r="J23" s="26" t="str">
        <f aca="false">IF(AND(J$3&gt;=$C23,J$3&lt;=$D23),1,"")</f>
        <v/>
      </c>
      <c r="K23" s="26" t="str">
        <f aca="false">IF(AND(K$3&gt;=$C23,K$3&lt;=$D23),1,"")</f>
        <v/>
      </c>
      <c r="L23" s="26" t="str">
        <f aca="false">IF(AND(L$3&gt;=$C23,L$3&lt;=$D23),1,"")</f>
        <v/>
      </c>
      <c r="M23" s="26" t="n">
        <f aca="false">IF(AND(M$3&gt;=$C23,M$3&lt;=$D23),1,"")</f>
        <v>1</v>
      </c>
      <c r="N23" s="26" t="str">
        <f aca="false">IF(AND(N$3&gt;=$C23,N$3&lt;=$D23),1,"")</f>
        <v/>
      </c>
      <c r="O23" s="26" t="str">
        <f aca="false">IF(AND(O$3&gt;=$C23,O$3&lt;=$D23),1,"")</f>
        <v/>
      </c>
      <c r="P23" s="26" t="str">
        <f aca="false">IF(AND(P$3&gt;=$C23,P$3&lt;=$D23),1,"")</f>
        <v/>
      </c>
    </row>
    <row r="24" customFormat="false" ht="15" hidden="false" customHeight="false" outlineLevel="0" collapsed="false">
      <c r="A24" s="13"/>
      <c r="B24" s="12" t="s">
        <v>325</v>
      </c>
      <c r="C24" s="25" t="n">
        <v>9</v>
      </c>
      <c r="D24" s="25" t="n">
        <v>11</v>
      </c>
      <c r="E24" s="26" t="str">
        <f aca="false">IF(AND(E$3&gt;=$C24,E$3&lt;=$D24),1,"")</f>
        <v/>
      </c>
      <c r="F24" s="26" t="str">
        <f aca="false">IF(AND(F$3&gt;=$C24,F$3&lt;=$D24),1,"")</f>
        <v/>
      </c>
      <c r="G24" s="26" t="str">
        <f aca="false">IF(AND(G$3&gt;=$C24,G$3&lt;=$D24),1,"")</f>
        <v/>
      </c>
      <c r="H24" s="26" t="str">
        <f aca="false">IF(AND(H$3&gt;=$C24,H$3&lt;=$D24),1,"")</f>
        <v/>
      </c>
      <c r="I24" s="26" t="str">
        <f aca="false">IF(AND(I$3&gt;=$C24,I$3&lt;=$D24),1,"")</f>
        <v/>
      </c>
      <c r="J24" s="26" t="str">
        <f aca="false">IF(AND(J$3&gt;=$C24,J$3&lt;=$D24),1,"")</f>
        <v/>
      </c>
      <c r="K24" s="26" t="str">
        <f aca="false">IF(AND(K$3&gt;=$C24,K$3&lt;=$D24),1,"")</f>
        <v/>
      </c>
      <c r="L24" s="26" t="str">
        <f aca="false">IF(AND(L$3&gt;=$C24,L$3&lt;=$D24),1,"")</f>
        <v/>
      </c>
      <c r="M24" s="26" t="n">
        <f aca="false">IF(AND(M$3&gt;=$C24,M$3&lt;=$D24),1,"")</f>
        <v>1</v>
      </c>
      <c r="N24" s="26" t="n">
        <f aca="false">IF(AND(N$3&gt;=$C24,N$3&lt;=$D24),1,"")</f>
        <v>1</v>
      </c>
      <c r="O24" s="26" t="n">
        <f aca="false">IF(AND(O$3&gt;=$C24,O$3&lt;=$D24),1,"")</f>
        <v>1</v>
      </c>
      <c r="P24" s="26" t="str">
        <f aca="false">IF(AND(P$3&gt;=$C24,P$3&lt;=$D24),1,"")</f>
        <v/>
      </c>
    </row>
    <row r="25" customFormat="false" ht="15" hidden="false" customHeight="false" outlineLevel="0" collapsed="false">
      <c r="A25" s="13"/>
      <c r="B25" s="12" t="s">
        <v>326</v>
      </c>
      <c r="C25" s="25" t="n">
        <v>12</v>
      </c>
      <c r="D25" s="25" t="n">
        <v>12</v>
      </c>
      <c r="E25" s="26" t="str">
        <f aca="false">IF(AND(E$3&gt;=$C25,E$3&lt;=$D25),1,"")</f>
        <v/>
      </c>
      <c r="F25" s="26" t="str">
        <f aca="false">IF(AND(F$3&gt;=$C25,F$3&lt;=$D25),1,"")</f>
        <v/>
      </c>
      <c r="G25" s="26" t="str">
        <f aca="false">IF(AND(G$3&gt;=$C25,G$3&lt;=$D25),1,"")</f>
        <v/>
      </c>
      <c r="H25" s="26" t="str">
        <f aca="false">IF(AND(H$3&gt;=$C25,H$3&lt;=$D25),1,"")</f>
        <v/>
      </c>
      <c r="I25" s="26" t="str">
        <f aca="false">IF(AND(I$3&gt;=$C25,I$3&lt;=$D25),1,"")</f>
        <v/>
      </c>
      <c r="J25" s="26" t="str">
        <f aca="false">IF(AND(J$3&gt;=$C25,J$3&lt;=$D25),1,"")</f>
        <v/>
      </c>
      <c r="K25" s="26" t="str">
        <f aca="false">IF(AND(K$3&gt;=$C25,K$3&lt;=$D25),1,"")</f>
        <v/>
      </c>
      <c r="L25" s="26" t="str">
        <f aca="false">IF(AND(L$3&gt;=$C25,L$3&lt;=$D25),1,"")</f>
        <v/>
      </c>
      <c r="M25" s="26" t="str">
        <f aca="false">IF(AND(M$3&gt;=$C25,M$3&lt;=$D25),1,"")</f>
        <v/>
      </c>
      <c r="N25" s="26" t="str">
        <f aca="false">IF(AND(N$3&gt;=$C25,N$3&lt;=$D25),1,"")</f>
        <v/>
      </c>
      <c r="O25" s="26" t="str">
        <f aca="false">IF(AND(O$3&gt;=$C25,O$3&lt;=$D25),1,"")</f>
        <v/>
      </c>
      <c r="P25" s="26" t="n">
        <f aca="false">IF(AND(P$3&gt;=$C25,P$3&lt;=$D25),1,"")</f>
        <v>1</v>
      </c>
    </row>
    <row r="26" customFormat="false" ht="15" hidden="false" customHeight="false" outlineLevel="0" collapsed="false">
      <c r="A26" s="13" t="s">
        <v>327</v>
      </c>
      <c r="B26" s="12" t="s">
        <v>328</v>
      </c>
      <c r="C26" s="25" t="n">
        <v>3</v>
      </c>
      <c r="D26" s="25" t="n">
        <v>3</v>
      </c>
      <c r="E26" s="26" t="str">
        <f aca="false">IF(AND(E$3&gt;=$C26,E$3&lt;=$D26),1,"")</f>
        <v/>
      </c>
      <c r="F26" s="26" t="str">
        <f aca="false">IF(AND(F$3&gt;=$C26,F$3&lt;=$D26),1,"")</f>
        <v/>
      </c>
      <c r="G26" s="26" t="n">
        <f aca="false">IF(AND(G$3&gt;=$C26,G$3&lt;=$D26),1,"")</f>
        <v>1</v>
      </c>
      <c r="H26" s="26" t="str">
        <f aca="false">IF(AND(H$3&gt;=$C26,H$3&lt;=$D26),1,"")</f>
        <v/>
      </c>
      <c r="I26" s="26" t="str">
        <f aca="false">IF(AND(I$3&gt;=$C26,I$3&lt;=$D26),1,"")</f>
        <v/>
      </c>
      <c r="J26" s="26" t="str">
        <f aca="false">IF(AND(J$3&gt;=$C26,J$3&lt;=$D26),1,"")</f>
        <v/>
      </c>
      <c r="K26" s="26" t="str">
        <f aca="false">IF(AND(K$3&gt;=$C26,K$3&lt;=$D26),1,"")</f>
        <v/>
      </c>
      <c r="L26" s="26" t="str">
        <f aca="false">IF(AND(L$3&gt;=$C26,L$3&lt;=$D26),1,"")</f>
        <v/>
      </c>
      <c r="M26" s="26" t="str">
        <f aca="false">IF(AND(M$3&gt;=$C26,M$3&lt;=$D26),1,"")</f>
        <v/>
      </c>
      <c r="N26" s="26" t="str">
        <f aca="false">IF(AND(N$3&gt;=$C26,N$3&lt;=$D26),1,"")</f>
        <v/>
      </c>
      <c r="O26" s="26" t="str">
        <f aca="false">IF(AND(O$3&gt;=$C26,O$3&lt;=$D26),1,"")</f>
        <v/>
      </c>
      <c r="P26" s="26" t="str">
        <f aca="false">IF(AND(P$3&gt;=$C26,P$3&lt;=$D26),1,"")</f>
        <v/>
      </c>
    </row>
    <row r="27" customFormat="false" ht="15" hidden="false" customHeight="false" outlineLevel="0" collapsed="false">
      <c r="A27" s="13"/>
      <c r="B27" s="12" t="s">
        <v>329</v>
      </c>
      <c r="C27" s="25" t="n">
        <v>6</v>
      </c>
      <c r="D27" s="25" t="n">
        <v>6</v>
      </c>
      <c r="E27" s="26" t="str">
        <f aca="false">IF(AND(E$3&gt;=$C27,E$3&lt;=$D27),1,"")</f>
        <v/>
      </c>
      <c r="F27" s="26" t="str">
        <f aca="false">IF(AND(F$3&gt;=$C27,F$3&lt;=$D27),1,"")</f>
        <v/>
      </c>
      <c r="G27" s="26" t="str">
        <f aca="false">IF(AND(G$3&gt;=$C27,G$3&lt;=$D27),1,"")</f>
        <v/>
      </c>
      <c r="H27" s="26" t="str">
        <f aca="false">IF(AND(H$3&gt;=$C27,H$3&lt;=$D27),1,"")</f>
        <v/>
      </c>
      <c r="I27" s="26" t="str">
        <f aca="false">IF(AND(I$3&gt;=$C27,I$3&lt;=$D27),1,"")</f>
        <v/>
      </c>
      <c r="J27" s="26" t="n">
        <f aca="false">IF(AND(J$3&gt;=$C27,J$3&lt;=$D27),1,"")</f>
        <v>1</v>
      </c>
      <c r="K27" s="26" t="str">
        <f aca="false">IF(AND(K$3&gt;=$C27,K$3&lt;=$D27),1,"")</f>
        <v/>
      </c>
      <c r="L27" s="26" t="str">
        <f aca="false">IF(AND(L$3&gt;=$C27,L$3&lt;=$D27),1,"")</f>
        <v/>
      </c>
      <c r="M27" s="26" t="str">
        <f aca="false">IF(AND(M$3&gt;=$C27,M$3&lt;=$D27),1,"")</f>
        <v/>
      </c>
      <c r="N27" s="26" t="str">
        <f aca="false">IF(AND(N$3&gt;=$C27,N$3&lt;=$D27),1,"")</f>
        <v/>
      </c>
      <c r="O27" s="26" t="str">
        <f aca="false">IF(AND(O$3&gt;=$C27,O$3&lt;=$D27),1,"")</f>
        <v/>
      </c>
      <c r="P27" s="26" t="str">
        <f aca="false">IF(AND(P$3&gt;=$C27,P$3&lt;=$D27),1,"")</f>
        <v/>
      </c>
    </row>
    <row r="28" customFormat="false" ht="15" hidden="false" customHeight="false" outlineLevel="0" collapsed="false">
      <c r="A28" s="13"/>
      <c r="B28" s="12" t="s">
        <v>329</v>
      </c>
      <c r="C28" s="25" t="n">
        <v>9</v>
      </c>
      <c r="D28" s="25" t="n">
        <v>9</v>
      </c>
      <c r="E28" s="26" t="str">
        <f aca="false">IF(AND(E$3&gt;=$C28,E$3&lt;=$D28),1,"")</f>
        <v/>
      </c>
      <c r="F28" s="26" t="str">
        <f aca="false">IF(AND(F$3&gt;=$C28,F$3&lt;=$D28),1,"")</f>
        <v/>
      </c>
      <c r="G28" s="26" t="str">
        <f aca="false">IF(AND(G$3&gt;=$C28,G$3&lt;=$D28),1,"")</f>
        <v/>
      </c>
      <c r="H28" s="26" t="str">
        <f aca="false">IF(AND(H$3&gt;=$C28,H$3&lt;=$D28),1,"")</f>
        <v/>
      </c>
      <c r="I28" s="26" t="str">
        <f aca="false">IF(AND(I$3&gt;=$C28,I$3&lt;=$D28),1,"")</f>
        <v/>
      </c>
      <c r="J28" s="26" t="str">
        <f aca="false">IF(AND(J$3&gt;=$C28,J$3&lt;=$D28),1,"")</f>
        <v/>
      </c>
      <c r="K28" s="26" t="str">
        <f aca="false">IF(AND(K$3&gt;=$C28,K$3&lt;=$D28),1,"")</f>
        <v/>
      </c>
      <c r="L28" s="26" t="str">
        <f aca="false">IF(AND(L$3&gt;=$C28,L$3&lt;=$D28),1,"")</f>
        <v/>
      </c>
      <c r="M28" s="26" t="n">
        <f aca="false">IF(AND(M$3&gt;=$C28,M$3&lt;=$D28),1,"")</f>
        <v>1</v>
      </c>
      <c r="N28" s="26" t="str">
        <f aca="false">IF(AND(N$3&gt;=$C28,N$3&lt;=$D28),1,"")</f>
        <v/>
      </c>
      <c r="O28" s="26" t="str">
        <f aca="false">IF(AND(O$3&gt;=$C28,O$3&lt;=$D28),1,"")</f>
        <v/>
      </c>
      <c r="P28" s="26" t="str">
        <f aca="false">IF(AND(P$3&gt;=$C28,P$3&lt;=$D28),1,"")</f>
        <v/>
      </c>
    </row>
    <row r="29" customFormat="false" ht="15" hidden="false" customHeight="false" outlineLevel="0" collapsed="false">
      <c r="A29" s="13"/>
      <c r="B29" s="12" t="s">
        <v>329</v>
      </c>
      <c r="C29" s="25" t="n">
        <v>12</v>
      </c>
      <c r="D29" s="25" t="n">
        <v>12</v>
      </c>
      <c r="E29" s="26" t="str">
        <f aca="false">IF(AND(E$3&gt;=$C29,E$3&lt;=$D29),1,"")</f>
        <v/>
      </c>
      <c r="F29" s="26" t="str">
        <f aca="false">IF(AND(F$3&gt;=$C29,F$3&lt;=$D29),1,"")</f>
        <v/>
      </c>
      <c r="G29" s="26" t="str">
        <f aca="false">IF(AND(G$3&gt;=$C29,G$3&lt;=$D29),1,"")</f>
        <v/>
      </c>
      <c r="H29" s="26" t="str">
        <f aca="false">IF(AND(H$3&gt;=$C29,H$3&lt;=$D29),1,"")</f>
        <v/>
      </c>
      <c r="I29" s="26" t="str">
        <f aca="false">IF(AND(I$3&gt;=$C29,I$3&lt;=$D29),1,"")</f>
        <v/>
      </c>
      <c r="J29" s="26" t="str">
        <f aca="false">IF(AND(J$3&gt;=$C29,J$3&lt;=$D29),1,"")</f>
        <v/>
      </c>
      <c r="K29" s="26" t="str">
        <f aca="false">IF(AND(K$3&gt;=$C29,K$3&lt;=$D29),1,"")</f>
        <v/>
      </c>
      <c r="L29" s="26" t="str">
        <f aca="false">IF(AND(L$3&gt;=$C29,L$3&lt;=$D29),1,"")</f>
        <v/>
      </c>
      <c r="M29" s="26" t="str">
        <f aca="false">IF(AND(M$3&gt;=$C29,M$3&lt;=$D29),1,"")</f>
        <v/>
      </c>
      <c r="N29" s="26" t="str">
        <f aca="false">IF(AND(N$3&gt;=$C29,N$3&lt;=$D29),1,"")</f>
        <v/>
      </c>
      <c r="O29" s="26" t="str">
        <f aca="false">IF(AND(O$3&gt;=$C29,O$3&lt;=$D29),1,"")</f>
        <v/>
      </c>
      <c r="P29" s="26" t="n">
        <f aca="false">IF(AND(P$3&gt;=$C29,P$3&lt;=$D29),1,"")</f>
        <v>1</v>
      </c>
    </row>
    <row r="30" customFormat="false" ht="15" hidden="false" customHeight="false" outlineLevel="0" collapsed="false">
      <c r="B30" s="9" t="s">
        <v>330</v>
      </c>
      <c r="F30" s="27" t="s">
        <v>331</v>
      </c>
      <c r="J30" s="27" t="s">
        <v>332</v>
      </c>
      <c r="P30" s="27" t="s">
        <v>333</v>
      </c>
    </row>
  </sheetData>
  <mergeCells count="1">
    <mergeCell ref="A2:P2"/>
  </mergeCells>
  <conditionalFormatting sqref="E6:P29">
    <cfRule type="expression" priority="2" aboveAverage="0" equalAverage="0" bottom="0" percent="0" rank="0" text="" dxfId="2">
      <formula>E6=1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334</v>
      </c>
    </row>
    <row r="2" customFormat="false" ht="30" hidden="false" customHeight="true" outlineLevel="0" collapsed="false">
      <c r="A2" s="2" t="s">
        <v>335</v>
      </c>
      <c r="B2" s="2"/>
      <c r="C2" s="2"/>
      <c r="D2" s="2"/>
      <c r="E2" s="2"/>
      <c r="F2" s="2"/>
      <c r="G2" s="2"/>
      <c r="H2" s="2"/>
      <c r="I2" s="2"/>
    </row>
    <row r="4" customFormat="false" ht="18.75" hidden="false" customHeight="true" outlineLevel="0" collapsed="false">
      <c r="A4" s="5" t="s">
        <v>336</v>
      </c>
      <c r="B4" s="5"/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A5" s="28" t="s">
        <v>337</v>
      </c>
      <c r="B5" s="28"/>
      <c r="C5" s="28"/>
      <c r="D5" s="29" t="n">
        <v>0.95</v>
      </c>
    </row>
    <row r="6" customFormat="false" ht="15" hidden="false" customHeight="false" outlineLevel="0" collapsed="false">
      <c r="A6" s="28" t="s">
        <v>338</v>
      </c>
      <c r="B6" s="28"/>
      <c r="C6" s="28"/>
      <c r="D6" s="30" t="n">
        <v>6</v>
      </c>
    </row>
    <row r="7" customFormat="false" ht="15" hidden="false" customHeight="false" outlineLevel="0" collapsed="false">
      <c r="A7" s="28" t="s">
        <v>339</v>
      </c>
      <c r="B7" s="28"/>
      <c r="C7" s="28"/>
      <c r="D7" s="30" t="n">
        <v>5</v>
      </c>
    </row>
    <row r="8" customFormat="false" ht="15" hidden="false" customHeight="false" outlineLevel="0" collapsed="false">
      <c r="A8" s="28" t="s">
        <v>340</v>
      </c>
      <c r="B8" s="28"/>
      <c r="C8" s="28"/>
      <c r="D8" s="30" t="n">
        <v>1</v>
      </c>
    </row>
    <row r="9" customFormat="false" ht="15" hidden="false" customHeight="false" outlineLevel="0" collapsed="false">
      <c r="A9" s="28" t="s">
        <v>341</v>
      </c>
      <c r="B9" s="28"/>
      <c r="C9" s="28"/>
      <c r="D9" s="30" t="n">
        <v>15</v>
      </c>
    </row>
    <row r="11" customFormat="false" ht="23.85" hidden="false" customHeight="false" outlineLevel="0" collapsed="false">
      <c r="A11" s="11" t="s">
        <v>214</v>
      </c>
      <c r="B11" s="11" t="s">
        <v>215</v>
      </c>
      <c r="C11" s="11" t="s">
        <v>342</v>
      </c>
      <c r="D11" s="11" t="s">
        <v>343</v>
      </c>
      <c r="E11" s="11" t="s">
        <v>344</v>
      </c>
      <c r="F11" s="11" t="s">
        <v>345</v>
      </c>
      <c r="G11" s="11" t="s">
        <v>346</v>
      </c>
      <c r="H11" s="11" t="s">
        <v>347</v>
      </c>
      <c r="I11" s="11" t="s">
        <v>348</v>
      </c>
    </row>
    <row r="12" customFormat="false" ht="15" hidden="false" customHeight="false" outlineLevel="0" collapsed="false">
      <c r="A12" s="13" t="s">
        <v>268</v>
      </c>
      <c r="B12" s="12" t="str">
        <f aca="false">TEXT(EDATE(Overview!$C$8,7-1),"mmm yyyy")</f>
        <v>Jul 2027</v>
      </c>
      <c r="C12" s="31"/>
      <c r="D12" s="32"/>
      <c r="E12" s="25"/>
      <c r="F12" s="25"/>
      <c r="G12" s="25"/>
      <c r="H12" s="13" t="str">
        <f aca="false">IF(COUNT(C12:G12)&lt;5,"Pending",IF(AND(C12&gt;=$D$5,D12&lt;=$D$6,E12&gt;=$D$7,F12&gt;=$D$8,G12&gt;=$D$9),"PASS","FAIL"))</f>
        <v>Pending</v>
      </c>
      <c r="I12" s="17"/>
    </row>
    <row r="13" customFormat="false" ht="15" hidden="false" customHeight="false" outlineLevel="0" collapsed="false">
      <c r="A13" s="13" t="s">
        <v>274</v>
      </c>
      <c r="B13" s="12" t="str">
        <f aca="false">TEXT(EDATE(Overview!$C$8,8-1),"mmm yyyy")</f>
        <v>Aug 2027</v>
      </c>
      <c r="C13" s="31"/>
      <c r="D13" s="32"/>
      <c r="E13" s="25"/>
      <c r="F13" s="25"/>
      <c r="G13" s="25"/>
      <c r="H13" s="13" t="str">
        <f aca="false">IF(COUNT(C13:G13)&lt;5,"Pending",IF(AND(C13&gt;=$D$5,D13&lt;=$D$6,E13&gt;=$D$7,F13&gt;=$D$8,G13&gt;=$D$9),"PASS","FAIL"))</f>
        <v>Pending</v>
      </c>
      <c r="I13" s="17"/>
    </row>
    <row r="14" customFormat="false" ht="15" hidden="false" customHeight="false" outlineLevel="0" collapsed="false">
      <c r="A14" s="13" t="s">
        <v>279</v>
      </c>
      <c r="B14" s="12" t="str">
        <f aca="false">TEXT(EDATE(Overview!$C$8,9-1),"mmm yyyy")</f>
        <v>Sep 2027</v>
      </c>
      <c r="C14" s="31"/>
      <c r="D14" s="32"/>
      <c r="E14" s="25"/>
      <c r="F14" s="25"/>
      <c r="G14" s="25"/>
      <c r="H14" s="13" t="str">
        <f aca="false">IF(COUNT(C14:G14)&lt;5,"Pending",IF(AND(C14&gt;=$D$5,D14&lt;=$D$6,E14&gt;=$D$7,F14&gt;=$D$8,G14&gt;=$D$9),"PASS","FAIL"))</f>
        <v>Pending</v>
      </c>
      <c r="I14" s="17"/>
    </row>
    <row r="15" customFormat="false" ht="15" hidden="false" customHeight="false" outlineLevel="0" collapsed="false">
      <c r="A15" s="13" t="s">
        <v>284</v>
      </c>
      <c r="B15" s="12" t="str">
        <f aca="false">TEXT(EDATE(Overview!$C$8,10-1),"mmm yyyy")</f>
        <v>Oct 2027</v>
      </c>
      <c r="C15" s="31"/>
      <c r="D15" s="32"/>
      <c r="E15" s="25"/>
      <c r="F15" s="25"/>
      <c r="G15" s="25"/>
      <c r="H15" s="13" t="str">
        <f aca="false">IF(COUNT(C15:G15)&lt;5,"Pending",IF(AND(C15&gt;=$D$5,D15&lt;=$D$6,E15&gt;=$D$7,F15&gt;=$D$8,G15&gt;=$D$9),"PASS","FAIL"))</f>
        <v>Pending</v>
      </c>
      <c r="I15" s="17"/>
    </row>
    <row r="16" customFormat="false" ht="15" hidden="false" customHeight="false" outlineLevel="0" collapsed="false">
      <c r="A16" s="13" t="s">
        <v>288</v>
      </c>
      <c r="B16" s="12" t="str">
        <f aca="false">TEXT(EDATE(Overview!$C$8,11-1),"mmm yyyy")</f>
        <v>Nov 2027</v>
      </c>
      <c r="C16" s="31"/>
      <c r="D16" s="32"/>
      <c r="E16" s="25"/>
      <c r="F16" s="25"/>
      <c r="G16" s="25"/>
      <c r="H16" s="13" t="str">
        <f aca="false">IF(COUNT(C16:G16)&lt;5,"Pending",IF(AND(C16&gt;=$D$5,D16&lt;=$D$6,E16&gt;=$D$7,F16&gt;=$D$8,G16&gt;=$D$9),"PASS","FAIL"))</f>
        <v>Pending</v>
      </c>
      <c r="I16" s="17"/>
    </row>
    <row r="17" customFormat="false" ht="15" hidden="false" customHeight="false" outlineLevel="0" collapsed="false">
      <c r="A17" s="13" t="s">
        <v>292</v>
      </c>
      <c r="B17" s="12" t="str">
        <f aca="false">TEXT(EDATE(Overview!$C$8,12-1),"mmm yyyy")</f>
        <v>Dec 2027</v>
      </c>
      <c r="C17" s="31"/>
      <c r="D17" s="32"/>
      <c r="E17" s="25"/>
      <c r="F17" s="25"/>
      <c r="G17" s="25"/>
      <c r="H17" s="13" t="str">
        <f aca="false">IF(COUNT(C17:G17)&lt;5,"Pending",IF(AND(C17&gt;=$D$5,D17&lt;=$D$6,E17&gt;=$D$7,F17&gt;=$D$8,G17&gt;=$D$9),"PASS","FAIL"))</f>
        <v>Pending</v>
      </c>
      <c r="I17" s="17"/>
    </row>
    <row r="19" customFormat="false" ht="15" hidden="false" customHeight="false" outlineLevel="0" collapsed="false">
      <c r="A19" s="33" t="s">
        <v>349</v>
      </c>
      <c r="B19" s="33"/>
      <c r="C19" s="3" t="str">
        <f aca="false">COUNTIF(H12:H17,"PASS")&amp;" of 6"</f>
        <v>0 of 6</v>
      </c>
      <c r="I19" s="9" t="s">
        <v>350</v>
      </c>
    </row>
  </sheetData>
  <mergeCells count="8">
    <mergeCell ref="A2:I2"/>
    <mergeCell ref="A4:I4"/>
    <mergeCell ref="A5:C5"/>
    <mergeCell ref="A6:C6"/>
    <mergeCell ref="A7:C7"/>
    <mergeCell ref="A8:C8"/>
    <mergeCell ref="A9:C9"/>
    <mergeCell ref="A19:B19"/>
  </mergeCells>
  <conditionalFormatting sqref="H12:H17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60"/>
  </cols>
  <sheetData>
    <row r="1" customFormat="false" ht="24" hidden="false" customHeight="true" outlineLevel="0" collapsed="false">
      <c r="A1" s="1" t="s">
        <v>351</v>
      </c>
    </row>
    <row r="2" customFormat="false" ht="30" hidden="false" customHeight="true" outlineLevel="0" collapsed="false">
      <c r="A2" s="2" t="s">
        <v>352</v>
      </c>
      <c r="B2" s="2"/>
      <c r="C2" s="2"/>
      <c r="D2" s="2"/>
      <c r="E2" s="2"/>
    </row>
    <row r="4" customFormat="false" ht="18.75" hidden="false" customHeight="true" outlineLevel="0" collapsed="false">
      <c r="A4" s="5" t="s">
        <v>353</v>
      </c>
      <c r="B4" s="5"/>
      <c r="C4" s="5"/>
      <c r="D4" s="5"/>
      <c r="E4" s="5"/>
    </row>
    <row r="5" customFormat="false" ht="15" hidden="false" customHeight="false" outlineLevel="0" collapsed="false">
      <c r="A5" s="3" t="s">
        <v>31</v>
      </c>
      <c r="B5" s="34" t="n">
        <f aca="false">EOMONTH(Overview!$C$8,2-1)</f>
        <v>46446</v>
      </c>
    </row>
    <row r="6" customFormat="false" ht="15" hidden="false" customHeight="false" outlineLevel="0" collapsed="false">
      <c r="A6" s="11" t="s">
        <v>354</v>
      </c>
      <c r="B6" s="11" t="s">
        <v>78</v>
      </c>
      <c r="C6" s="11" t="s">
        <v>82</v>
      </c>
      <c r="D6" s="11" t="s">
        <v>2</v>
      </c>
      <c r="E6" s="11" t="s">
        <v>355</v>
      </c>
    </row>
    <row r="7" customFormat="false" ht="43.5" hidden="false" customHeight="true" outlineLevel="0" collapsed="false">
      <c r="A7" s="12" t="str">
        <f aca="false">INDEX(Deliverables!$B$5:$B$31,MATCH(B7,Deliverables!$A$5:$A$31,0))</f>
        <v>LGU agreement and MDRRMO commitment</v>
      </c>
      <c r="B7" s="13" t="s">
        <v>103</v>
      </c>
      <c r="C7" s="14" t="n">
        <f aca="false">INDEX(Deliverables!$E$5:$E$31,MATCH(B7,Deliverables!$A$5:$A$31,0))</f>
        <v>46446</v>
      </c>
      <c r="D7" s="13" t="str">
        <f aca="false">INDEX(Deliverables!$J$5:$J$31,MATCH(B7,Deliverables!$A$5:$A$31,0))</f>
        <v>Not started</v>
      </c>
      <c r="E7" s="12" t="str">
        <f aca="false">INDEX(Deliverables!$G$5:$G$31,MATCH(B7,Deliverables!$A$5:$A$31,0))</f>
        <v>Signed MOA or LOI covering host buoys, boat access, 2 gateway sites and permits; MDRRMO agrees to monitor alerts and run drills.</v>
      </c>
    </row>
    <row r="8" customFormat="false" ht="30" hidden="false" customHeight="true" outlineLevel="0" collapsed="false">
      <c r="A8" s="3" t="s">
        <v>356</v>
      </c>
      <c r="D8" s="3" t="str">
        <f aca="false">IF(COUNTIF(D7:D7,"Done")=1,"MET","NOT YET")</f>
        <v>NOT YET</v>
      </c>
      <c r="E8" s="35" t="s">
        <v>357</v>
      </c>
    </row>
    <row r="10" customFormat="false" ht="18.75" hidden="false" customHeight="true" outlineLevel="0" collapsed="false">
      <c r="A10" s="5" t="s">
        <v>358</v>
      </c>
      <c r="B10" s="5"/>
      <c r="C10" s="5"/>
      <c r="D10" s="5"/>
      <c r="E10" s="5"/>
    </row>
    <row r="11" customFormat="false" ht="15" hidden="false" customHeight="false" outlineLevel="0" collapsed="false">
      <c r="A11" s="3" t="s">
        <v>31</v>
      </c>
      <c r="B11" s="34" t="n">
        <f aca="false">EOMONTH(Overview!$C$8,6-1)</f>
        <v>46568</v>
      </c>
    </row>
    <row r="12" customFormat="false" ht="15" hidden="false" customHeight="false" outlineLevel="0" collapsed="false">
      <c r="A12" s="11" t="s">
        <v>354</v>
      </c>
      <c r="B12" s="11" t="s">
        <v>78</v>
      </c>
      <c r="C12" s="11" t="s">
        <v>82</v>
      </c>
      <c r="D12" s="11" t="s">
        <v>2</v>
      </c>
      <c r="E12" s="11" t="s">
        <v>355</v>
      </c>
    </row>
    <row r="13" customFormat="false" ht="43.5" hidden="false" customHeight="true" outlineLevel="0" collapsed="false">
      <c r="A13" s="12" t="str">
        <f aca="false">INDEX(Deliverables!$B$5:$B$31,MATCH(B13,Deliverables!$A$5:$A$31,0))</f>
        <v>SOS acceptance test passed (go-live)</v>
      </c>
      <c r="B13" s="13" t="s">
        <v>150</v>
      </c>
      <c r="C13" s="14" t="n">
        <f aca="false">INDEX(Deliverables!$E$5:$E$31,MATCH(B13,Deliverables!$A$5:$A$31,0))</f>
        <v>46568</v>
      </c>
      <c r="D13" s="13" t="str">
        <f aca="false">INDEX(Deliverables!$J$5:$J$31,MATCH(B13,Deliverables!$A$5:$A$31,0))</f>
        <v>Not started</v>
      </c>
      <c r="E13" s="12" t="str">
        <f aca="false">INDEX(Deliverables!$G$5:$G$31,MATCH(B13,Deliverables!$A$5:$A$31,0))</f>
        <v>At least 30 drills at 3+ locations; 95%+ reach the dashboard within 2 min; MDRRMO acknowledges within 10 min; gateway power-loss and carrier-loss tests passed.</v>
      </c>
    </row>
    <row r="14" customFormat="false" ht="30" hidden="false" customHeight="true" outlineLevel="0" collapsed="false">
      <c r="A14" s="3" t="s">
        <v>356</v>
      </c>
      <c r="D14" s="3" t="str">
        <f aca="false">IF(COUNTIF(D13:D13,"Done")=1,"MET","NOT YET")</f>
        <v>NOT YET</v>
      </c>
      <c r="E14" s="35" t="s">
        <v>359</v>
      </c>
    </row>
    <row r="16" customFormat="false" ht="18.75" hidden="false" customHeight="true" outlineLevel="0" collapsed="false">
      <c r="A16" s="5" t="s">
        <v>360</v>
      </c>
      <c r="B16" s="5"/>
      <c r="C16" s="5"/>
      <c r="D16" s="5"/>
      <c r="E16" s="5"/>
    </row>
    <row r="17" customFormat="false" ht="15" hidden="false" customHeight="false" outlineLevel="0" collapsed="false">
      <c r="A17" s="3" t="s">
        <v>31</v>
      </c>
      <c r="B17" s="34" t="n">
        <f aca="false">EOMONTH(Overview!$C$8,12-1)</f>
        <v>46752</v>
      </c>
    </row>
    <row r="18" customFormat="false" ht="15" hidden="false" customHeight="false" outlineLevel="0" collapsed="false">
      <c r="A18" s="11" t="s">
        <v>354</v>
      </c>
      <c r="B18" s="11" t="s">
        <v>78</v>
      </c>
      <c r="C18" s="11" t="s">
        <v>82</v>
      </c>
      <c r="D18" s="11" t="s">
        <v>2</v>
      </c>
      <c r="E18" s="11" t="s">
        <v>355</v>
      </c>
    </row>
    <row r="19" customFormat="false" ht="43.5" hidden="false" customHeight="true" outlineLevel="0" collapsed="false">
      <c r="A19" s="12" t="str">
        <f aca="false">INDEX(Deliverables!$B$5:$B$31,MATCH(B19,Deliverables!$A$5:$A$31,0))</f>
        <v>SOS acceptance test passed (go-live)</v>
      </c>
      <c r="B19" s="13" t="s">
        <v>150</v>
      </c>
      <c r="C19" s="14" t="n">
        <f aca="false">INDEX(Deliverables!$E$5:$E$31,MATCH(B19,Deliverables!$A$5:$A$31,0))</f>
        <v>46568</v>
      </c>
      <c r="D19" s="13" t="str">
        <f aca="false">INDEX(Deliverables!$J$5:$J$31,MATCH(B19,Deliverables!$A$5:$A$31,0))</f>
        <v>Not started</v>
      </c>
      <c r="E19" s="12" t="str">
        <f aca="false">INDEX(Deliverables!$G$5:$G$31,MATCH(B19,Deliverables!$A$5:$A$31,0))</f>
        <v>At least 30 drills at 3+ locations; 95%+ reach the dashboard within 2 min; MDRRMO acknowledges within 10 min; gateway power-loss and carrier-loss tests passed.</v>
      </c>
    </row>
    <row r="20" customFormat="false" ht="43.5" hidden="false" customHeight="true" outlineLevel="0" collapsed="false">
      <c r="A20" s="12" t="str">
        <f aca="false">INDEX(Deliverables!$B$5:$B$31,MATCH(B20,Deliverables!$A$5:$A$31,0))</f>
        <v>Six months of supported SOS operation</v>
      </c>
      <c r="B20" s="13" t="s">
        <v>159</v>
      </c>
      <c r="C20" s="14" t="n">
        <f aca="false">INDEX(Deliverables!$E$5:$E$31,MATCH(B20,Deliverables!$A$5:$A$31,0))</f>
        <v>46752</v>
      </c>
      <c r="D20" s="13" t="str">
        <f aca="false">INDEX(Deliverables!$J$5:$J$31,MATCH(B20,Deliverables!$A$5:$A$31,0))</f>
        <v>Not started</v>
      </c>
      <c r="E20" s="12" t="str">
        <f aca="false">INDEX(Deliverables!$G$5:$G$31,MATCH(B20,Deliverables!$A$5:$A$31,0))</f>
        <v>Every month meets the Monthly Ops targets (uptime, outage, drills, inspections, active pods).</v>
      </c>
    </row>
    <row r="21" customFormat="false" ht="43.5" hidden="false" customHeight="true" outlineLevel="0" collapsed="false">
      <c r="A21" s="12" t="str">
        <f aca="false">INDEX(Deliverables!$B$5:$B$31,MATCH(B21,Deliverables!$A$5:$A$31,0))</f>
        <v>Actual cost report</v>
      </c>
      <c r="B21" s="13" t="s">
        <v>175</v>
      </c>
      <c r="C21" s="14" t="n">
        <f aca="false">INDEX(Deliverables!$E$5:$E$31,MATCH(B21,Deliverables!$A$5:$A$31,0))</f>
        <v>46660</v>
      </c>
      <c r="D21" s="13" t="str">
        <f aca="false">INDEX(Deliverables!$J$5:$J$31,MATCH(B21,Deliverables!$A$5:$A$31,0))</f>
        <v>Not started</v>
      </c>
      <c r="E21" s="12" t="str">
        <f aca="false">INDEX(Deliverables!$G$5:$G$31,MATCH(B21,Deliverables!$A$5:$A$31,0))</f>
        <v>Real cost of buoy node, pod and gateway vs budget, with variances explained.</v>
      </c>
    </row>
    <row r="22" customFormat="false" ht="43.5" hidden="false" customHeight="true" outlineLevel="0" collapsed="false">
      <c r="A22" s="12" t="str">
        <f aca="false">INDEX(Deliverables!$B$5:$B$31,MATCH(B22,Deliverables!$A$5:$A$31,0))</f>
        <v>Year 2 commitment from New Washington</v>
      </c>
      <c r="B22" s="13" t="s">
        <v>189</v>
      </c>
      <c r="C22" s="14" t="n">
        <f aca="false">INDEX(Deliverables!$E$5:$E$31,MATCH(B22,Deliverables!$A$5:$A$31,0))</f>
        <v>46721</v>
      </c>
      <c r="D22" s="13" t="str">
        <f aca="false">INDEX(Deliverables!$J$5:$J$31,MATCH(B22,Deliverables!$A$5:$A$31,0))</f>
        <v>Not started</v>
      </c>
      <c r="E22" s="12" t="str">
        <f aca="false">INDEX(Deliverables!$G$5:$G$31,MATCH(B22,Deliverables!$A$5:$A$31,0))</f>
        <v>Paid Year 2 agreement or LOI signed.</v>
      </c>
    </row>
    <row r="23" customFormat="false" ht="30" hidden="false" customHeight="true" outlineLevel="0" collapsed="false">
      <c r="A23" s="3" t="s">
        <v>356</v>
      </c>
      <c r="D23" s="3" t="str">
        <f aca="false">IF(COUNTIF(D19:D22,"Done")=4,"MET","NOT YET")</f>
        <v>NOT YET</v>
      </c>
      <c r="E23" s="35" t="s">
        <v>361</v>
      </c>
    </row>
    <row r="25" customFormat="false" ht="30" hidden="false" customHeight="true" outlineLevel="0" collapsed="false">
      <c r="A25" s="36" t="s">
        <v>362</v>
      </c>
      <c r="B25" s="36"/>
      <c r="C25" s="36"/>
      <c r="D25" s="36"/>
      <c r="E25" s="36"/>
    </row>
  </sheetData>
  <mergeCells count="5">
    <mergeCell ref="A2:E2"/>
    <mergeCell ref="A4:E4"/>
    <mergeCell ref="A10:E10"/>
    <mergeCell ref="A16:E16"/>
    <mergeCell ref="A25:E25"/>
  </mergeCells>
  <conditionalFormatting sqref="D8">
    <cfRule type="cellIs" priority="2" operator="equal" aboveAverage="0" equalAverage="0" bottom="0" percent="0" rank="0" text="" dxfId="0">
      <formula>"MET"</formula>
    </cfRule>
  </conditionalFormatting>
  <conditionalFormatting sqref="D14">
    <cfRule type="cellIs" priority="3" operator="equal" aboveAverage="0" equalAverage="0" bottom="0" percent="0" rank="0" text="" dxfId="0">
      <formula>"MET"</formula>
    </cfRule>
  </conditionalFormatting>
  <conditionalFormatting sqref="D23">
    <cfRule type="cellIs" priority="4" operator="equal" aboveAverage="0" equalAverage="0" bottom="0" percent="0" rank="0" text="" dxfId="0">
      <formula>"MET"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2026-09-29T23:42:47Z</dcterms:created>
  <dc:creator>openpyxl</dc:creator>
  <dc:description/>
  <dc:language>en-US</dc:language>
  <cp:lastModifiedBy/>
  <dcterms:modified xsi:type="dcterms:W3CDTF">2026-09-29T23:42:47Z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