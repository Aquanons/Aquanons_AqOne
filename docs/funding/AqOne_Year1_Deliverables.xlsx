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eliverables" sheetId="2" state="visible" r:id="rId4"/>
    <sheet name="Calendar" sheetId="3" state="visible" r:id="rId5"/>
    <sheet name="Gantt" sheetId="4" state="visible" r:id="rId6"/>
    <sheet name="Training Plan" sheetId="5" state="visible" r:id="rId7"/>
    <sheet name="Validation Plan" sheetId="6" state="visible" r:id="rId8"/>
    <sheet name="Promotion Plan" sheetId="7" state="visible" r:id="rId9"/>
    <sheet name="Monthly Ops" sheetId="8" state="visible" r:id="rId10"/>
    <sheet name="Gates" sheetId="9" state="visible" r:id="rId11"/>
    <sheet name="Budget Notes" sheetId="10" state="visible" r:id="rId12"/>
  </sheets>
  <definedNames>
    <definedName function="false" hidden="true" localSheetId="1" name="_xlnm._FilterDatabase" vbProcedure="false">Deliverables!$A$4:$M$61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<sst xmlns="http://schemas.openxmlformats.org/spreadsheetml/2006/main" count="1264" uniqueCount="778">
  <si>
    <t xml:space="preserve">AqOne Year 1 Plan: DOST-Funded Pilot Deliverables</t>
  </si>
  <si>
    <t xml:space="preserve">What we deliver in the 12-month DOST grant period: building, deployment, a 6-month validation period, training for fishers and MDRRMO, and promotion. All dates follow the start date below.</t>
  </si>
  <si>
    <t xml:space="preserve">Status</t>
  </si>
  <si>
    <t xml:space="preserve">DRAFT (for team and ASU review)</t>
  </si>
  <si>
    <t xml:space="preserve">Owner</t>
  </si>
  <si>
    <t xml:space="preserve">Aquanons (Lenard, lead student researcher)</t>
  </si>
  <si>
    <t xml:space="preserve">Created / Updated</t>
  </si>
  <si>
    <t xml:space="preserve">2026-09-30</t>
  </si>
  <si>
    <t xml:space="preserve">Related</t>
  </si>
  <si>
    <t xml:space="preserve">docs/funding/Aquanons_Master_Budget.xlsx, AqOne_Investor_Model.xlsx, AqOne_Handoff_Doreen.md</t>
  </si>
  <si>
    <t xml:space="preserve">PROJECT DATES</t>
  </si>
  <si>
    <t xml:space="preserve">Official DOST start date (Month 1)</t>
  </si>
  <si>
    <t xml:space="preserve">ASSUMPTION: January 2027. Change this cell when DOST confirms; every date in the workbook updates.</t>
  </si>
  <si>
    <t xml:space="preserve">End of grant period (Month 12)</t>
  </si>
  <si>
    <t xml:space="preserve">Validation period (Months 7-12)</t>
  </si>
  <si>
    <t xml:space="preserve">Six months of supported SOS operation, measured against the validation protocol.</t>
  </si>
  <si>
    <t xml:space="preserve">Grant amount requested</t>
  </si>
  <si>
    <t xml:space="preserve">From Aquanons_Master_Budget.xlsx (28 Sep 2026). See Budget Notes for costs this plan adds.</t>
  </si>
  <si>
    <t xml:space="preserve">THREE PHASES</t>
  </si>
  <si>
    <t xml:space="preserve">Phase</t>
  </si>
  <si>
    <t xml:space="preserve">Starts</t>
  </si>
  <si>
    <t xml:space="preserve">Ends</t>
  </si>
  <si>
    <t xml:space="preserve">Goal</t>
  </si>
  <si>
    <t xml:space="preserve">1. Set up and build</t>
  </si>
  <si>
    <t xml:space="preserve">Agreements, procurement, firmware, app, dashboard and devices ready; validation protocol approved; community awareness starts.</t>
  </si>
  <si>
    <t xml:space="preserve">2. Deploy, train and commission</t>
  </si>
  <si>
    <t xml:space="preserve">Coverage measured, devices installed, MDRRMO and fishers trained, soft launch, SOS acceptance test passed (go-live).</t>
  </si>
  <si>
    <t xml:space="preserve">3. Validation period</t>
  </si>
  <si>
    <t xml:space="preserve">Six months of supported SOS operation with scheduled and unannounced drills, surveys, usability tests, refresher training, launch and promotion, Year 2 commitment, final reports and handover.</t>
  </si>
  <si>
    <t xml:space="preserve">WORKSTREAMS</t>
  </si>
  <si>
    <t xml:space="preserve">Workstream</t>
  </si>
  <si>
    <t xml:space="preserve">Items</t>
  </si>
  <si>
    <t xml:space="preserve">Lead</t>
  </si>
  <si>
    <t xml:space="preserve">What it covers</t>
  </si>
  <si>
    <t xml:space="preserve">Setup</t>
  </si>
  <si>
    <t xml:space="preserve">Doreen + faculty leader</t>
  </si>
  <si>
    <t xml:space="preserve">Agreements, procurement, consent and privacy forms.</t>
  </si>
  <si>
    <t xml:space="preserve">Build</t>
  </si>
  <si>
    <t xml:space="preserve">Lenard, Daniel, Jade, Arnold</t>
  </si>
  <si>
    <t xml:space="preserve">Backend, firmware, app, dashboard, device assembly.</t>
  </si>
  <si>
    <t xml:space="preserve">Deploy</t>
  </si>
  <si>
    <t xml:space="preserve">Daniel</t>
  </si>
  <si>
    <t xml:space="preserve">Installation and onboarding of the 20 boats.</t>
  </si>
  <si>
    <t xml:space="preserve">Validation</t>
  </si>
  <si>
    <t xml:space="preserve">Lenard</t>
  </si>
  <si>
    <t xml:space="preserve">Protocol, coverage, soft launch, acceptance test, usability tests, unannounced and night drills, reviews, AI evaluation.</t>
  </si>
  <si>
    <t xml:space="preserve">Training</t>
  </si>
  <si>
    <t xml:space="preserve">Doreen (fishers), Arnold (MDRRMO)</t>
  </si>
  <si>
    <t xml:space="preserve">Curriculum, SOP, MDRRMO operators, champion fishers, fisher batches, joint exercise, refreshers, LGU technicians.</t>
  </si>
  <si>
    <t xml:space="preserve">Promotion</t>
  </si>
  <si>
    <t xml:space="preserve">Doreen, KC</t>
  </si>
  <si>
    <t xml:space="preserve">Communication kit, Facebook page, barangay assemblies, IEC materials, launch, media, stories, briefings, neighbouring LGUs, results forum.</t>
  </si>
  <si>
    <t xml:space="preserve">Operations</t>
  </si>
  <si>
    <t xml:space="preserve">The six-month validation period and the handover package.</t>
  </si>
  <si>
    <t xml:space="preserve">Reporting</t>
  </si>
  <si>
    <t xml:space="preserve">Faculty leader</t>
  </si>
  <si>
    <t xml:space="preserve">Quarterly reports, cost report, final report.</t>
  </si>
  <si>
    <t xml:space="preserve">Year 2</t>
  </si>
  <si>
    <t xml:space="preserve">Year 2 proposal and commitment from New Washington.</t>
  </si>
  <si>
    <t xml:space="preserve">GATES: STOP-AND-CHECK POINTS</t>
  </si>
  <si>
    <t xml:space="preserve">Gate</t>
  </si>
  <si>
    <t xml:space="preserve">Deadline</t>
  </si>
  <si>
    <t xml:space="preserve">Decided by</t>
  </si>
  <si>
    <t xml:space="preserve">If not met</t>
  </si>
  <si>
    <t xml:space="preserve">G1 Go/no-go on LGU agreement</t>
  </si>
  <si>
    <t xml:space="preserve">Faculty leader + Lenard</t>
  </si>
  <si>
    <t xml:space="preserve">Switch to plan B: ASU-arranged boats, buoys and gateway sites, before installation.</t>
  </si>
  <si>
    <t xml:space="preserve">G2 Go-live</t>
  </si>
  <si>
    <t xml:space="preserve">Faculty leader, MDRRMO head, Lenard</t>
  </si>
  <si>
    <t xml:space="preserve">Do not go live. Fix, re-test within 4 weeks, and shorten the validation period accordingly.</t>
  </si>
  <si>
    <t xml:space="preserve">G3 Investor Milestone 1</t>
  </si>
  <si>
    <t xml:space="preserve">Investor, from DOST/ASU reports and logs</t>
  </si>
  <si>
    <t xml:space="preserve">Investor may decline tranche 1 (₱3M).</t>
  </si>
  <si>
    <t xml:space="preserve">TEAM</t>
  </si>
  <si>
    <t xml:space="preserve">Person</t>
  </si>
  <si>
    <t xml:space="preserve">Role</t>
  </si>
  <si>
    <t xml:space="preserve">Hours/week</t>
  </si>
  <si>
    <t xml:space="preserve">Main Year 1 responsibilities</t>
  </si>
  <si>
    <t xml:space="preserve">Lead student researcher: backend, architecture, deployment</t>
  </si>
  <si>
    <t xml:space="preserve">Backend, validation protocol and reviews, SOP, acceptance test, AI evaluation, reports</t>
  </si>
  <si>
    <t xml:space="preserve">Hardware and buoy firmware</t>
  </si>
  <si>
    <t xml:space="preserve">Procurement, firmware, assembly, coverage, installation, upkeep, LGU technician training</t>
  </si>
  <si>
    <t xml:space="preserve">Jade</t>
  </si>
  <si>
    <t xml:space="preserve">Flutter application</t>
  </si>
  <si>
    <t xml:space="preserve">App, usability tests, fisher training (app parts)</t>
  </si>
  <si>
    <t xml:space="preserve">Arnold</t>
  </si>
  <si>
    <t xml:space="preserve">Website dashboard</t>
  </si>
  <si>
    <t xml:space="preserve">Dashboard, MDRRMO operator training, joint exercise</t>
  </si>
  <si>
    <t xml:space="preserve">Doreen Kay</t>
  </si>
  <si>
    <t xml:space="preserve">Pitching, company branding, business direction</t>
  </si>
  <si>
    <t xml:space="preserve">Promotion lead, fisher training lead, surveys, cost report, Year 2 commitment</t>
  </si>
  <si>
    <t xml:space="preserve">KC Condes</t>
  </si>
  <si>
    <t xml:space="preserve">Pitching and business development support</t>
  </si>
  <si>
    <t xml:space="preserve">Assemblies, IEC, media, surveys, neighbouring LGUs</t>
  </si>
  <si>
    <t xml:space="preserve">Faculty project leader (to be named)</t>
  </si>
  <si>
    <t xml:space="preserve">Official DOST project leader</t>
  </si>
  <si>
    <t xml:space="preserve">Approvals, procurement, gates, protocol, quarterly reports</t>
  </si>
  <si>
    <t xml:space="preserve">Sheets: Deliverables (register) · Calendar (week by week) · Gantt · Training Plan · Validation Plan · Promotion Plan · Monthly Ops (validation period tracker) · Gates · Budget Notes (costs this plan adds). Yellow cells are inputs.</t>
  </si>
  <si>
    <t xml:space="preserve">Deliverables Register</t>
  </si>
  <si>
    <t xml:space="preserve">Sorted by due month. Deadline = end of the due month. Filter by Workstream to see one area. Update Status and Date done as work finishes.</t>
  </si>
  <si>
    <t xml:space="preserve">ID</t>
  </si>
  <si>
    <t xml:space="preserve">Deliverable</t>
  </si>
  <si>
    <t xml:space="preserve">Starts (M)</t>
  </si>
  <si>
    <t xml:space="preserve">Due (M)</t>
  </si>
  <si>
    <t xml:space="preserve">Due date</t>
  </si>
  <si>
    <t xml:space="preserve">Done when (pass/fail test)</t>
  </si>
  <si>
    <t xml:space="preserve">Proof</t>
  </si>
  <si>
    <t xml:space="preserve">Gate / milestone</t>
  </si>
  <si>
    <t xml:space="preserve">Date done</t>
  </si>
  <si>
    <t xml:space="preserve">Notes</t>
  </si>
  <si>
    <t xml:space="preserve">D1</t>
  </si>
  <si>
    <t xml:space="preserve">Backend moved to paid Render plan</t>
  </si>
  <si>
    <t xml:space="preserve">Paid database with backups live; staging copy live; uptime monitor on; one backup restore tested.</t>
  </si>
  <si>
    <t xml:space="preserve">Render invoice, restore log</t>
  </si>
  <si>
    <t xml:space="preserve">Not started</t>
  </si>
  <si>
    <t xml:space="preserve">D2</t>
  </si>
  <si>
    <t xml:space="preserve">All pilot hardware ordered</t>
  </si>
  <si>
    <t xml:space="preserve">Daniel + faculty leader</t>
  </si>
  <si>
    <t xml:space="preserve">Every B.1 item ordered through ASU procurement, with quotations attached.</t>
  </si>
  <si>
    <t xml:space="preserve">Purchase orders, quotations</t>
  </si>
  <si>
    <t xml:space="preserve">D3</t>
  </si>
  <si>
    <t xml:space="preserve">Fisher consent form and privacy notice</t>
  </si>
  <si>
    <t xml:space="preserve">Doreen</t>
  </si>
  <si>
    <t xml:space="preserve">Consent form and privacy notice approved by the faculty leader, in English and Aklanon.</t>
  </si>
  <si>
    <t xml:space="preserve">Approved forms</t>
  </si>
  <si>
    <t xml:space="preserve">P1</t>
  </si>
  <si>
    <t xml:space="preserve">Communication kit</t>
  </si>
  <si>
    <t xml:space="preserve">Key messages in English, Filipino and Aklanon; logo and brand assets; photo/video consent form; one-page project explainer.</t>
  </si>
  <si>
    <t xml:space="preserve">Kit folder</t>
  </si>
  <si>
    <t xml:space="preserve">D4</t>
  </si>
  <si>
    <t xml:space="preserve">LGU agreement and MDRRMO commitment</t>
  </si>
  <si>
    <t xml:space="preserve">Doreen, KC + faculty leader</t>
  </si>
  <si>
    <t xml:space="preserve">Signed MOA or LOI covering host buoys, boat access, 2 gateway sites and permits; MDRRMO agrees to monitor alerts and run drills.</t>
  </si>
  <si>
    <t xml:space="preserve">Signed documents</t>
  </si>
  <si>
    <t xml:space="preserve">G1</t>
  </si>
  <si>
    <t xml:space="preserve">D5</t>
  </si>
  <si>
    <t xml:space="preserve">Firmware running on RAK boards</t>
  </si>
  <si>
    <t xml:space="preserve">100 of 100 bench SOS messages delivered pod → gateway → dashboard; pod battery lasts at least 48 h; recharge time measured.</t>
  </si>
  <si>
    <t xml:space="preserve">Bench test log</t>
  </si>
  <si>
    <t xml:space="preserve">D6</t>
  </si>
  <si>
    <t xml:space="preserve">Android app ready (Google Play closed testing)</t>
  </si>
  <si>
    <t xml:space="preserve">SOS works through pod Wi-Fi with no internet; English, Filipino and Aklanon; runs on 5 low-end phones.</t>
  </si>
  <si>
    <t xml:space="preserve">Play Console listing, phone test sheet</t>
  </si>
  <si>
    <t xml:space="preserve">D7</t>
  </si>
  <si>
    <t xml:space="preserve">MDRRMO dashboard ready</t>
  </si>
  <si>
    <t xml:space="preserve">Operator receives and acknowledges a test SOS within 2 minutes; buoy, gateway and pod health visible.</t>
  </si>
  <si>
    <t xml:space="preserve">Screen recording</t>
  </si>
  <si>
    <t xml:space="preserve">V1</t>
  </si>
  <si>
    <t xml:space="preserve">Validation protocol approved</t>
  </si>
  <si>
    <t xml:space="preserve">Lenard + faculty leader</t>
  </si>
  <si>
    <t xml:space="preserve">Written protocol: what we measure, targets, sample sizes, how data is collected, stored and anonymized; approved by the faculty leader.</t>
  </si>
  <si>
    <t xml:space="preserve">Signed protocol</t>
  </si>
  <si>
    <t xml:space="preserve">D8</t>
  </si>
  <si>
    <t xml:space="preserve">All devices assembled and bench-tested</t>
  </si>
  <si>
    <t xml:space="preserve">Daniel + all</t>
  </si>
  <si>
    <t xml:space="preserve">3 buoy nodes, 22 pods and 2 gateways built; 72-hour burn-in and splash test passed.</t>
  </si>
  <si>
    <t xml:space="preserve">Checklist with photos</t>
  </si>
  <si>
    <t xml:space="preserve">R1</t>
  </si>
  <si>
    <t xml:space="preserve">Quarterly report 1</t>
  </si>
  <si>
    <t xml:space="preserve">Faculty leader, Lenard, Doreen</t>
  </si>
  <si>
    <t xml:space="preserve">Technical and financial report submitted to ASU/DOST.</t>
  </si>
  <si>
    <t xml:space="preserve">Submitted report</t>
  </si>
  <si>
    <t xml:space="preserve">P8a</t>
  </si>
  <si>
    <t xml:space="preserve">Stakeholder briefing 1</t>
  </si>
  <si>
    <t xml:space="preserve">Doreen, Lenard</t>
  </si>
  <si>
    <t xml:space="preserve">Progress briefing to LGU, MDRRMO, BFAR and Coast Guard; questions and commitments recorded.</t>
  </si>
  <si>
    <t xml:space="preserve">Attendance, notes</t>
  </si>
  <si>
    <t xml:space="preserve">P3</t>
  </si>
  <si>
    <t xml:space="preserve">Barangay assemblies in coastal barangays</t>
  </si>
  <si>
    <t xml:space="preserve">Doreen, KC + LGU</t>
  </si>
  <si>
    <t xml:space="preserve">At least 4 assemblies held with the LGU; 20 boats signed up with a waitlist; common questions collected for the FAQ.</t>
  </si>
  <si>
    <t xml:space="preserve">Attendance, sign-up list</t>
  </si>
  <si>
    <t xml:space="preserve">D9</t>
  </si>
  <si>
    <t xml:space="preserve">Coverage map</t>
  </si>
  <si>
    <t xml:space="preserve">Daniel + Lenard</t>
  </si>
  <si>
    <t xml:space="preserve">Signal measured at 50+ GPS-tagged points by boat; coverage map made; buoy positions confirmed with LGU and Coast Guard.</t>
  </si>
  <si>
    <t xml:space="preserve">Coverage map and raw data</t>
  </si>
  <si>
    <t xml:space="preserve">T1</t>
  </si>
  <si>
    <t xml:space="preserve">Training curriculum and trainer guide</t>
  </si>
  <si>
    <t xml:space="preserve">Doreen, Jade</t>
  </si>
  <si>
    <t xml:space="preserve">Modules, session plans, pre/post test and competency checklist for fishers and MDRRMO operators.</t>
  </si>
  <si>
    <t xml:space="preserve">Curriculum, trainer guide</t>
  </si>
  <si>
    <t xml:space="preserve">D10</t>
  </si>
  <si>
    <t xml:space="preserve">Fisher training materials in Aklanon</t>
  </si>
  <si>
    <t xml:space="preserve">Doreen, KC, Jade</t>
  </si>
  <si>
    <t xml:space="preserve">Handouts, picture guide and short videos on SOS, charging and basic checks; reviewed by the fisherfolk association.</t>
  </si>
  <si>
    <t xml:space="preserve">Final materials, review notes</t>
  </si>
  <si>
    <t xml:space="preserve">T2</t>
  </si>
  <si>
    <t xml:space="preserve">SOS response procedure (SOP) signed with MDRRMO</t>
  </si>
  <si>
    <t xml:space="preserve">Lenard + faculty leader + MDRRMO</t>
  </si>
  <si>
    <t xml:space="preserve">Written SOP: who acknowledges an SOS, target times, escalation to Coast Guard and BFAR, contact tree; signed off by the MDRRMO head.</t>
  </si>
  <si>
    <t xml:space="preserve">Signed SOP</t>
  </si>
  <si>
    <t xml:space="preserve">G2</t>
  </si>
  <si>
    <t xml:space="preserve">P4</t>
  </si>
  <si>
    <t xml:space="preserve">IEC materials printed and placed</t>
  </si>
  <si>
    <t xml:space="preserve">Tarpaulins at the fish landing, port, barangay halls and MDRRMO; flyers in Aklanon distributed at assemblies.</t>
  </si>
  <si>
    <t xml:space="preserve">Photos of placement</t>
  </si>
  <si>
    <t xml:space="preserve">D11</t>
  </si>
  <si>
    <t xml:space="preserve">Gateways and buoy nodes installed</t>
  </si>
  <si>
    <t xml:space="preserve">2 gateways on rooftops and 3 buoy nodes on host buoys, all reporting health for 7 days straight.</t>
  </si>
  <si>
    <t xml:space="preserve">Dashboard logs, photos</t>
  </si>
  <si>
    <t xml:space="preserve">T3</t>
  </si>
  <si>
    <t xml:space="preserve">MDRRMO operator training</t>
  </si>
  <si>
    <t xml:space="preserve">Arnold, Lenard</t>
  </si>
  <si>
    <t xml:space="preserve">All operators on the duty rota (at least 4) trained; each acknowledges a test SOS on the dashboard within 2 minutes; post-test score 80% or higher.</t>
  </si>
  <si>
    <t xml:space="preserve">Attendance, test results</t>
  </si>
  <si>
    <t xml:space="preserve">T4</t>
  </si>
  <si>
    <t xml:space="preserve">Champion fisher training</t>
  </si>
  <si>
    <t xml:space="preserve">Doreen, Jade, Daniel</t>
  </si>
  <si>
    <t xml:space="preserve">5 respected fishers trained first as peer helpers; each can pair a pod, send SOS, charge and do basic checks, and explain them to others.</t>
  </si>
  <si>
    <t xml:space="preserve">Attendance, competency checklist</t>
  </si>
  <si>
    <t xml:space="preserve">V2</t>
  </si>
  <si>
    <t xml:space="preserve">Soft launch with 5 champion boats</t>
  </si>
  <si>
    <t xml:space="preserve">Lenard, Daniel</t>
  </si>
  <si>
    <t xml:space="preserve">5 boats use pods for 1 week before full rollout; at least 10 test messages each delivered; all issues found are fixed or logged.</t>
  </si>
  <si>
    <t xml:space="preserve">Soft-launch log</t>
  </si>
  <si>
    <t xml:space="preserve">V3</t>
  </si>
  <si>
    <t xml:space="preserve">Usability test round 1</t>
  </si>
  <si>
    <t xml:space="preserve">At least 10 fishers each try: pair pod, send SOS, check battery. 90%+ complete each task without help; SOS sent within 60 seconds.</t>
  </si>
  <si>
    <t xml:space="preserve">Test sheets, notes</t>
  </si>
  <si>
    <t xml:space="preserve">T5</t>
  </si>
  <si>
    <t xml:space="preserve">Fisher training batches and competency check</t>
  </si>
  <si>
    <t xml:space="preserve">Doreen, KC, Jade + champions</t>
  </si>
  <si>
    <t xml:space="preserve">3 batches covering all 20 boats (1-2 fishers per boat). Every fisher sends an SOS and charges a pod without help before receiving a pod; pre/post test gain recorded.</t>
  </si>
  <si>
    <t xml:space="preserve">Attendance, competency sheets</t>
  </si>
  <si>
    <t xml:space="preserve">D12</t>
  </si>
  <si>
    <t xml:space="preserve">20 boats onboarded</t>
  </si>
  <si>
    <t xml:space="preserve">20 boats have pods; consent forms signed; pod serial numbers matched to boats in the dashboard.</t>
  </si>
  <si>
    <t xml:space="preserve">Consent forms, device register</t>
  </si>
  <si>
    <t xml:space="preserve">D13</t>
  </si>
  <si>
    <t xml:space="preserve">SOS acceptance test passed (go-live)</t>
  </si>
  <si>
    <t xml:space="preserve">Lenard, Daniel + MDRRMO</t>
  </si>
  <si>
    <t xml:space="preserve">At least 30 drills at 3+ locations; 95%+ reach the dashboard within 2 min; MDRRMO acknowledges within 10 min; gateway power-loss and carrier-loss tests passed.</t>
  </si>
  <si>
    <t xml:space="preserve">Drill report</t>
  </si>
  <si>
    <t xml:space="preserve">G2, Milestone 1</t>
  </si>
  <si>
    <t xml:space="preserve">R2</t>
  </si>
  <si>
    <t xml:space="preserve">Quarterly report 2 and mid-year review</t>
  </si>
  <si>
    <t xml:space="preserve">Technical and financial report submitted; mid-year review held with ASU.</t>
  </si>
  <si>
    <t xml:space="preserve">P8b</t>
  </si>
  <si>
    <t xml:space="preserve">Stakeholder briefing 2</t>
  </si>
  <si>
    <t xml:space="preserve">Go-live readiness briefing to LGU, MDRRMO, BFAR and Coast Guard.</t>
  </si>
  <si>
    <t xml:space="preserve">P5</t>
  </si>
  <si>
    <t xml:space="preserve">Community launch and demo day</t>
  </si>
  <si>
    <t xml:space="preserve">Public launch with LGU, MDRRMO, Coast Guard, BFAR and ASU; live SOS demonstration; at least 60 attendees.</t>
  </si>
  <si>
    <t xml:space="preserve">Program, photos, attendance</t>
  </si>
  <si>
    <t xml:space="preserve">P6</t>
  </si>
  <si>
    <t xml:space="preserve">Local media feature</t>
  </si>
  <si>
    <t xml:space="preserve">Doreen + ASU public affairs</t>
  </si>
  <si>
    <t xml:space="preserve">Press release issued through ASU; at least 1 local radio or news feature.</t>
  </si>
  <si>
    <t xml:space="preserve">Press release, clipping or recording</t>
  </si>
  <si>
    <t xml:space="preserve">V5</t>
  </si>
  <si>
    <t xml:space="preserve">Night and rough-weather readiness drills</t>
  </si>
  <si>
    <t xml:space="preserve">Daniel, Lenard</t>
  </si>
  <si>
    <t xml:space="preserve">At least 3 drills at night and 2 in moderate sea conditions (only when safe), meeting the same targets as D13.</t>
  </si>
  <si>
    <t xml:space="preserve">Drill log</t>
  </si>
  <si>
    <t xml:space="preserve">D15</t>
  </si>
  <si>
    <t xml:space="preserve">Fisher feedback survey 1</t>
  </si>
  <si>
    <t xml:space="preserve">At least 15 of 20 boats surveyed; top issues logged and assigned.</t>
  </si>
  <si>
    <t xml:space="preserve">Survey results</t>
  </si>
  <si>
    <t xml:space="preserve">T6</t>
  </si>
  <si>
    <t xml:space="preserve">Joint response exercise with MDRRMO and Coast Guard</t>
  </si>
  <si>
    <t xml:space="preserve">Lenard, Arnold + MDRRMO</t>
  </si>
  <si>
    <t xml:space="preserve">Tabletop and field exercise following the SOP end to end; lessons logged and the SOP updated.</t>
  </si>
  <si>
    <t xml:space="preserve">Exercise report</t>
  </si>
  <si>
    <t xml:space="preserve">D16</t>
  </si>
  <si>
    <t xml:space="preserve">Year 2 proposal presented to the LGU</t>
  </si>
  <si>
    <t xml:space="preserve">Doreen, KC + Lenard</t>
  </si>
  <si>
    <t xml:space="preserve">Proposal presented while the LGU prepares next year's budget (usually mid-year).</t>
  </si>
  <si>
    <t xml:space="preserve">Presentation, meeting notes</t>
  </si>
  <si>
    <t xml:space="preserve">V6</t>
  </si>
  <si>
    <t xml:space="preserve">Mid-pilot validation review</t>
  </si>
  <si>
    <t xml:space="preserve">M7-M8 results compared with the protocol targets; decisions to keep, adjust or stop recorded.</t>
  </si>
  <si>
    <t xml:space="preserve">Review minutes</t>
  </si>
  <si>
    <t xml:space="preserve">T7</t>
  </si>
  <si>
    <t xml:space="preserve">Refresher training</t>
  </si>
  <si>
    <t xml:space="preserve">Doreen, Jade, Arnold</t>
  </si>
  <si>
    <t xml:space="preserve">All active fishers and MDRRMO operators refreshed; replacement fishers trained; repeated after any major app update.</t>
  </si>
  <si>
    <t xml:space="preserve">Attendance</t>
  </si>
  <si>
    <t xml:space="preserve">D17</t>
  </si>
  <si>
    <t xml:space="preserve">Actual cost report</t>
  </si>
  <si>
    <t xml:space="preserve">Doreen + Daniel</t>
  </si>
  <si>
    <t xml:space="preserve">Real cost of buoy node, pod and gateway vs budget, with variances explained.</t>
  </si>
  <si>
    <t xml:space="preserve">Cost report</t>
  </si>
  <si>
    <t xml:space="preserve">Milestone 1</t>
  </si>
  <si>
    <t xml:space="preserve">R3</t>
  </si>
  <si>
    <t xml:space="preserve">Quarterly report 3</t>
  </si>
  <si>
    <t xml:space="preserve">P8c</t>
  </si>
  <si>
    <t xml:space="preserve">Stakeholder briefing 3</t>
  </si>
  <si>
    <t xml:space="preserve">Mid-pilot results briefing to LGU, MDRRMO, BFAR and Coast Guard.</t>
  </si>
  <si>
    <t xml:space="preserve">D18</t>
  </si>
  <si>
    <t xml:space="preserve">Fisher feedback survey 2</t>
  </si>
  <si>
    <t xml:space="preserve">Same survey repeated; changes since survey 1 reported.</t>
  </si>
  <si>
    <t xml:space="preserve">V7</t>
  </si>
  <si>
    <t xml:space="preserve">Usability test round 2</t>
  </si>
  <si>
    <t xml:space="preserve">At least 15 fishers repeat the round 1 tasks; results compared with round 1.</t>
  </si>
  <si>
    <t xml:space="preserve">Test sheets, comparison</t>
  </si>
  <si>
    <t xml:space="preserve">P7</t>
  </si>
  <si>
    <t xml:space="preserve">Fisher stories and documentation</t>
  </si>
  <si>
    <t xml:space="preserve">Monthly photos and video with consent; at least 3 fisher stories published by end of M11.</t>
  </si>
  <si>
    <t xml:space="preserve">Published stories</t>
  </si>
  <si>
    <t xml:space="preserve">D19</t>
  </si>
  <si>
    <t xml:space="preserve">Experimental AI evaluation report</t>
  </si>
  <si>
    <t xml:space="preserve">Squall, drift and catch features tested on pilot data; results reported separately from SOS results.</t>
  </si>
  <si>
    <t xml:space="preserve">Evaluation report</t>
  </si>
  <si>
    <t xml:space="preserve">P9</t>
  </si>
  <si>
    <t xml:space="preserve">Outreach to neighbouring LGUs</t>
  </si>
  <si>
    <t xml:space="preserve">Pilot results presented to at least 3 other Aklan coastal LGUs; at least 1 LOI (starts the Year 2 pipeline).</t>
  </si>
  <si>
    <t xml:space="preserve">Meeting notes, LOIs</t>
  </si>
  <si>
    <t xml:space="preserve">D20</t>
  </si>
  <si>
    <t xml:space="preserve">Year 2 commitment from New Washington</t>
  </si>
  <si>
    <t xml:space="preserve">Paid Year 2 agreement or LOI signed.</t>
  </si>
  <si>
    <t xml:space="preserve">Signed document</t>
  </si>
  <si>
    <t xml:space="preserve">P2</t>
  </si>
  <si>
    <t xml:space="preserve">AqOne Facebook page active</t>
  </si>
  <si>
    <t xml:space="preserve">Page live by end of M2; at least 2 posts per week through M12; monthly reach and follower report.</t>
  </si>
  <si>
    <t xml:space="preserve">Page link, monthly reports</t>
  </si>
  <si>
    <t xml:space="preserve">D14</t>
  </si>
  <si>
    <t xml:space="preserve">Six-month validation period (supported SOS operation)</t>
  </si>
  <si>
    <t xml:space="preserve">Daniel (upkeep), Lenard</t>
  </si>
  <si>
    <t xml:space="preserve">Every month meets the Monthly Ops targets: uptime, longest outage, drills (including unannounced), inspections, active pods.</t>
  </si>
  <si>
    <t xml:space="preserve">6 monthly ops reports</t>
  </si>
  <si>
    <t xml:space="preserve">V4</t>
  </si>
  <si>
    <t xml:space="preserve">Unannounced drills</t>
  </si>
  <si>
    <t xml:space="preserve">At least 1 unannounced SOS drill per month from M8; MDRRMO acknowledges within 10 minutes in 90%+ of them.</t>
  </si>
  <si>
    <t xml:space="preserve">Drill log with timestamps</t>
  </si>
  <si>
    <t xml:space="preserve">T8</t>
  </si>
  <si>
    <t xml:space="preserve">Maintenance training for LGU technicians</t>
  </si>
  <si>
    <t xml:space="preserve">At least 2 LGU technicians can check health, swap a pod battery and reseal an enclosure unaided.</t>
  </si>
  <si>
    <t xml:space="preserve">Competency checklist</t>
  </si>
  <si>
    <t xml:space="preserve">D21</t>
  </si>
  <si>
    <t xml:space="preserve">Handover package</t>
  </si>
  <si>
    <t xml:space="preserve">Daniel, Arnold + all</t>
  </si>
  <si>
    <t xml:space="preserve">Operations manual handed over; MDRRMO and LGU operators trained; plan agreed for who runs AqOne after Year 1.</t>
  </si>
  <si>
    <t xml:space="preserve">Manual, handover record</t>
  </si>
  <si>
    <t xml:space="preserve">P10</t>
  </si>
  <si>
    <t xml:space="preserve">Pilot results forum</t>
  </si>
  <si>
    <t xml:space="preserve">Doreen, KC + all</t>
  </si>
  <si>
    <t xml:space="preserve">Public presentation of pilot results to stakeholders and the community.</t>
  </si>
  <si>
    <t xml:space="preserve">Program, attendance</t>
  </si>
  <si>
    <t xml:space="preserve">V8</t>
  </si>
  <si>
    <t xml:space="preserve">Final validation report</t>
  </si>
  <si>
    <t xml:space="preserve">All protocol metrics vs targets with raw data and limitations; feeds the final report.</t>
  </si>
  <si>
    <t xml:space="preserve">Validation report</t>
  </si>
  <si>
    <t xml:space="preserve">T9</t>
  </si>
  <si>
    <t xml:space="preserve">Training evaluation report</t>
  </si>
  <si>
    <t xml:space="preserve">Attendance, pre/post test results, competency pass rates and feedback for every training.</t>
  </si>
  <si>
    <t xml:space="preserve">D22</t>
  </si>
  <si>
    <t xml:space="preserve">Final report and dataset</t>
  </si>
  <si>
    <t xml:space="preserve">All + faculty leader</t>
  </si>
  <si>
    <t xml:space="preserve">Final technical report, anonymized dataset and final drill results submitted.</t>
  </si>
  <si>
    <t xml:space="preserve">Final report, dataset</t>
  </si>
  <si>
    <t xml:space="preserve">D23</t>
  </si>
  <si>
    <t xml:space="preserve">Conference abstract</t>
  </si>
  <si>
    <t xml:space="preserve">Abstract submitted to one national research forum.</t>
  </si>
  <si>
    <t xml:space="preserve">Submission receipt</t>
  </si>
  <si>
    <t xml:space="preserve">R4</t>
  </si>
  <si>
    <t xml:space="preserve">Quarterly report 4</t>
  </si>
  <si>
    <t xml:space="preserve">Technical and financial report submitted; terminal report and liquidation follow per DOST rules.</t>
  </si>
  <si>
    <t xml:space="preserve">P8d</t>
  </si>
  <si>
    <t xml:space="preserve">Stakeholder briefing 4</t>
  </si>
  <si>
    <t xml:space="preserve">Final results briefing to LGU, MDRRMO, BFAR and Coast Guard.</t>
  </si>
  <si>
    <t xml:space="preserve">Progress</t>
  </si>
  <si>
    <t xml:space="preserve">Week-by-Week Calendar</t>
  </si>
  <si>
    <t xml:space="preserve">Month names follow the start date on the Overview sheet. Shaded rows mark alternate months.</t>
  </si>
  <si>
    <t xml:space="preserve">Month</t>
  </si>
  <si>
    <t xml:space="preserve">Month name</t>
  </si>
  <si>
    <t xml:space="preserve">Week</t>
  </si>
  <si>
    <t xml:space="preserve">Activity</t>
  </si>
  <si>
    <t xml:space="preserve">Deliverables</t>
  </si>
  <si>
    <t xml:space="preserve">M1</t>
  </si>
  <si>
    <t xml:space="preserve">1</t>
  </si>
  <si>
    <t xml:space="preserve">Kickoff with the faculty project leader and ASU Research Office; confirm expense, procurement, reimbursement and meal rules; assign owners.</t>
  </si>
  <si>
    <t xml:space="preserve">All</t>
  </si>
  <si>
    <t xml:space="preserve">Move the backend to paid Render; staging copy, uptime monitoring and a backup restore test.</t>
  </si>
  <si>
    <t xml:space="preserve">2</t>
  </si>
  <si>
    <t xml:space="preserve">Get quotations for all hardware and submit purchase requests.</t>
  </si>
  <si>
    <t xml:space="preserve">Courtesy visit to New Washington LGU and MDRRMO; present the project; hand over a draft MOA.</t>
  </si>
  <si>
    <t xml:space="preserve">3</t>
  </si>
  <si>
    <t xml:space="preserve">Start porting firmware to RAK boards on dev kits. Plan app and dashboard sprints.</t>
  </si>
  <si>
    <t xml:space="preserve">Daniel, Jade, Arnold</t>
  </si>
  <si>
    <t xml:space="preserve">D5, D6, D7</t>
  </si>
  <si>
    <t xml:space="preserve">3-4</t>
  </si>
  <si>
    <t xml:space="preserve">Communication kit: key messages in 3 languages, brand assets, photo/video consent form, one-page explainer.</t>
  </si>
  <si>
    <t xml:space="preserve">4</t>
  </si>
  <si>
    <t xml:space="preserve">Draft the fisher consent form and privacy notice (Data Privacy Act).</t>
  </si>
  <si>
    <t xml:space="preserve">M2</t>
  </si>
  <si>
    <t xml:space="preserve">Launch the AqOne Facebook page and a 2-posts-per-week content calendar.</t>
  </si>
  <si>
    <t xml:space="preserve">1-2</t>
  </si>
  <si>
    <t xml:space="preserve">Firmware port continues; first parts arrive; dashboard SOS acknowledgement flow; app pod pairing.</t>
  </si>
  <si>
    <t xml:space="preserve">Daniel, Arnold, Jade</t>
  </si>
  <si>
    <t xml:space="preserve">Draft the validation protocol: metrics, targets, sample sizes, data handling.</t>
  </si>
  <si>
    <t xml:space="preserve">With the LGU: pick 2 rooftop gateway sites and 3 host buoys; meet the fisherfolk association.</t>
  </si>
  <si>
    <t xml:space="preserve">Doreen, KC, Daniel</t>
  </si>
  <si>
    <t xml:space="preserve">MOA/LOI signed. Gate G1 go/no-go; switch to plan B if no agreement. Chase late parts.</t>
  </si>
  <si>
    <t xml:space="preserve">Faculty leader, Doreen</t>
  </si>
  <si>
    <t xml:space="preserve">M3</t>
  </si>
  <si>
    <t xml:space="preserve">Assemble 22 pods, 2 gateways and 3 buoy nodes; bench SOS tests; pod battery endurance test.</t>
  </si>
  <si>
    <t xml:space="preserve">D5, D8</t>
  </si>
  <si>
    <t xml:space="preserve">2-3</t>
  </si>
  <si>
    <t xml:space="preserve">Barangay assemblies 1 and 2 with the LGU: explain AqOne, sign up boats, collect questions.</t>
  </si>
  <si>
    <t xml:space="preserve">72-hour burn-in and splash tests; app closed testing on 5 phones; MDRRMO operator accounts. Validation protocol approved.</t>
  </si>
  <si>
    <t xml:space="preserve">Daniel, Jade, Arnold, faculty leader</t>
  </si>
  <si>
    <t xml:space="preserve">D6, D7, D8, V1</t>
  </si>
  <si>
    <t xml:space="preserve">Quarterly report 1; stakeholder briefing 1 (LGU, MDRRMO, BFAR, Coast Guard).</t>
  </si>
  <si>
    <t xml:space="preserve">R1, P8a</t>
  </si>
  <si>
    <t xml:space="preserve">M4</t>
  </si>
  <si>
    <t xml:space="preserve">Coverage survey by boat: signal at 50+ GPS-tagged points.</t>
  </si>
  <si>
    <t xml:space="preserve">Barangay assemblies 3 and 4; 20 boats signed up plus a waitlist.</t>
  </si>
  <si>
    <t xml:space="preserve">Coverage map; confirm buoy positions and permits with the LGU and Coast Guard.</t>
  </si>
  <si>
    <t xml:space="preserve">Lenard, Doreen</t>
  </si>
  <si>
    <t xml:space="preserve">Write the training curriculum, trainer guide, pre/post tests and competency checklist; draft fisher materials in Aklanon.</t>
  </si>
  <si>
    <t xml:space="preserve">T1, D10</t>
  </si>
  <si>
    <t xml:space="preserve">Draft the SOS response SOP with MDRRMO and the Coast Guard.</t>
  </si>
  <si>
    <t xml:space="preserve">M5</t>
  </si>
  <si>
    <t xml:space="preserve">Install both gateways on the rooftops.</t>
  </si>
  <si>
    <t xml:space="preserve">MDRRMO head signs off the SOP.</t>
  </si>
  <si>
    <t xml:space="preserve">Install the 3 buoy nodes on host buoys (sea trips).</t>
  </si>
  <si>
    <t xml:space="preserve">Print and place IEC materials: tarpaulins at the fish landing, port, barangay halls, MDRRMO; flyers.</t>
  </si>
  <si>
    <t xml:space="preserve">7-day health check of all installed devices; fisherfolk association reviews training materials; finalize curriculum.</t>
  </si>
  <si>
    <t xml:space="preserve">Lenard, Doreen, Jade</t>
  </si>
  <si>
    <t xml:space="preserve">D10, D11, T1</t>
  </si>
  <si>
    <t xml:space="preserve">M6</t>
  </si>
  <si>
    <t xml:space="preserve">MDRRMO operator training (full day). Champion fisher training (5 fishers). Soft launch with the 5 champion boats.</t>
  </si>
  <si>
    <t xml:space="preserve">Arnold, Lenard, Doreen, Jade, Daniel</t>
  </si>
  <si>
    <t xml:space="preserve">T3, T4, V2</t>
  </si>
  <si>
    <t xml:space="preserve">Usability test round 1 with 10+ fishers.</t>
  </si>
  <si>
    <t xml:space="preserve">Fisher training batches 1-3 with champion helpers; competency check; pods handed over; consent forms signed.</t>
  </si>
  <si>
    <t xml:space="preserve">T5, D12</t>
  </si>
  <si>
    <t xml:space="preserve">SOS acceptance test: 30+ drills at 3+ locations; gateway power-loss and carrier-loss tests.</t>
  </si>
  <si>
    <t xml:space="preserve">Gate G2 go-live decision. Quarterly report 2, mid-year review, stakeholder briefing 2.</t>
  </si>
  <si>
    <t xml:space="preserve">R2, P8b</t>
  </si>
  <si>
    <t xml:space="preserve">M7</t>
  </si>
  <si>
    <t xml:space="preserve">Community launch and demo day with LGU, MDRRMO, Coast Guard, BFAR and ASU; live SOS demo.</t>
  </si>
  <si>
    <t xml:space="preserve">Press release through ASU; local radio or news feature.</t>
  </si>
  <si>
    <t xml:space="preserve">2-4</t>
  </si>
  <si>
    <t xml:space="preserve">Validation period begins: weekly check-ins, night and rough-weather drills (when safe), experimental AI data collection.</t>
  </si>
  <si>
    <t xml:space="preserve">D14, V5, D19</t>
  </si>
  <si>
    <t xml:space="preserve">Monthly</t>
  </si>
  <si>
    <t xml:space="preserve">Every month M7-M12: 5+ SOS drills, 1 inspection trip (plus checks after bad weather), uptime report, incident log, 2 Facebook posts per week, photos and video with consent.</t>
  </si>
  <si>
    <t xml:space="preserve">Daniel, Lenard, Doreen</t>
  </si>
  <si>
    <t xml:space="preserve">D14, P2, P7</t>
  </si>
  <si>
    <t xml:space="preserve">M8</t>
  </si>
  <si>
    <t xml:space="preserve">First unannounced drill (then at least 1 per month to M12).</t>
  </si>
  <si>
    <t xml:space="preserve">Fisher feedback survey 1; app and firmware fixes from the results. Finish night and rough-weather drills.</t>
  </si>
  <si>
    <t xml:space="preserve">Doreen, KC, Jade, Daniel</t>
  </si>
  <si>
    <t xml:space="preserve">D15, V5</t>
  </si>
  <si>
    <t xml:space="preserve">Joint response exercise with MDRRMO and the Coast Guard (tabletop and field); update the SOP.</t>
  </si>
  <si>
    <t xml:space="preserve">Present the Year 2 proposal to the LGU during its budget preparation.</t>
  </si>
  <si>
    <t xml:space="preserve">M9</t>
  </si>
  <si>
    <t xml:space="preserve">Mid-pilot validation review against the protocol; keep, adjust or stop decisions.</t>
  </si>
  <si>
    <t xml:space="preserve">Refresher training for fishers and MDRRMO operators; train any replacement fishers.</t>
  </si>
  <si>
    <t xml:space="preserve">1-3</t>
  </si>
  <si>
    <t xml:space="preserve">Compile the real cost of each device vs budget.</t>
  </si>
  <si>
    <t xml:space="preserve">Doreen, Daniel</t>
  </si>
  <si>
    <t xml:space="preserve">Quarterly report 3; stakeholder briefing 3.</t>
  </si>
  <si>
    <t xml:space="preserve">R3, P8c</t>
  </si>
  <si>
    <t xml:space="preserve">M10</t>
  </si>
  <si>
    <t xml:space="preserve">Fisher feedback survey 2; usability test round 2 with 15+ fishers.</t>
  </si>
  <si>
    <t xml:space="preserve">D18, V7</t>
  </si>
  <si>
    <t xml:space="preserve">Present pilot results to 3+ neighbouring Aklan coastal LGUs; aim for at least 1 LOI.</t>
  </si>
  <si>
    <t xml:space="preserve">Analyze the experimental AI features; draft the Year 2 agreement with the LGU.</t>
  </si>
  <si>
    <t xml:space="preserve">D19, D20</t>
  </si>
  <si>
    <t xml:space="preserve">M11</t>
  </si>
  <si>
    <t xml:space="preserve">Finish the AI evaluation report (separate from SOS results).</t>
  </si>
  <si>
    <t xml:space="preserve">Maintenance training for 2+ LGU technicians begins.</t>
  </si>
  <si>
    <t xml:space="preserve">Year 2 agreement or LOI signed; draft the operations manual; publish the third fisher story.</t>
  </si>
  <si>
    <t xml:space="preserve">D20, D21, P7</t>
  </si>
  <si>
    <t xml:space="preserve">M12</t>
  </si>
  <si>
    <t xml:space="preserve">Complete technician and operator training; hand over the operations manual; agree who runs AqOne after Year 1.</t>
  </si>
  <si>
    <t xml:space="preserve">T8, D21</t>
  </si>
  <si>
    <t xml:space="preserve">Pilot results forum for stakeholders and the community.</t>
  </si>
  <si>
    <t xml:space="preserve">Final drills; freeze and anonymize the dataset; final validation report; training evaluation report.</t>
  </si>
  <si>
    <t xml:space="preserve">Lenard, Daniel, Doreen</t>
  </si>
  <si>
    <t xml:space="preserve">V8, T9, D22</t>
  </si>
  <si>
    <t xml:space="preserve">Final report, conference abstract, quarterly report 4, stakeholder briefing 4. Investor Milestone 1 check.</t>
  </si>
  <si>
    <t xml:space="preserve">D22, D23, R4, P8d</t>
  </si>
  <si>
    <t xml:space="preserve">12-Month Gantt</t>
  </si>
  <si>
    <t xml:space="preserve">Bars show when each deliverable is worked on. Change Start/End months to move a bar.</t>
  </si>
  <si>
    <t xml:space="preserve">Start</t>
  </si>
  <si>
    <t xml:space="preserve">End</t>
  </si>
  <si>
    <t xml:space="preserve">D2 All pilot hardware ordered</t>
  </si>
  <si>
    <t xml:space="preserve">D3 Fisher consent form and privacy notice</t>
  </si>
  <si>
    <t xml:space="preserve">D4 LGU agreement and MDRRMO commitment</t>
  </si>
  <si>
    <t xml:space="preserve">D1 Backend moved to paid Render plan</t>
  </si>
  <si>
    <t xml:space="preserve">D5 Firmware running on RAK boards</t>
  </si>
  <si>
    <t xml:space="preserve">D6 Android app ready (Google Play closed testing)</t>
  </si>
  <si>
    <t xml:space="preserve">D7 MDRRMO dashboard ready</t>
  </si>
  <si>
    <t xml:space="preserve">D8 All devices assembled and bench-tested</t>
  </si>
  <si>
    <t xml:space="preserve">D11 Gateways and buoy nodes installed</t>
  </si>
  <si>
    <t xml:space="preserve">D12 20 boats onboarded</t>
  </si>
  <si>
    <t xml:space="preserve">V1 Validation protocol approved</t>
  </si>
  <si>
    <t xml:space="preserve">D9 Coverage map</t>
  </si>
  <si>
    <t xml:space="preserve">V2 Soft launch with 5 champion boats</t>
  </si>
  <si>
    <t xml:space="preserve">V3 Usability test round 1</t>
  </si>
  <si>
    <t xml:space="preserve">D13 SOS acceptance test passed (go-live)</t>
  </si>
  <si>
    <t xml:space="preserve">V5 Night and rough-weather readiness drills</t>
  </si>
  <si>
    <t xml:space="preserve">D15 Fisher feedback survey 1</t>
  </si>
  <si>
    <t xml:space="preserve">V4 Unannounced drills</t>
  </si>
  <si>
    <t xml:space="preserve">V6 Mid-pilot validation review</t>
  </si>
  <si>
    <t xml:space="preserve">D19 Experimental AI evaluation report</t>
  </si>
  <si>
    <t xml:space="preserve">D18 Fisher feedback survey 2</t>
  </si>
  <si>
    <t xml:space="preserve">V7 Usability test round 2</t>
  </si>
  <si>
    <t xml:space="preserve">V8 Final validation report</t>
  </si>
  <si>
    <t xml:space="preserve">T1 Training curriculum and trainer guide</t>
  </si>
  <si>
    <t xml:space="preserve">D10 Fisher training materials in Aklanon</t>
  </si>
  <si>
    <t xml:space="preserve">T2 SOS response procedure (SOP) signed with MDRRMO</t>
  </si>
  <si>
    <t xml:space="preserve">T3 MDRRMO operator training</t>
  </si>
  <si>
    <t xml:space="preserve">T4 Champion fisher training</t>
  </si>
  <si>
    <t xml:space="preserve">T5 Fisher training batches and competency check</t>
  </si>
  <si>
    <t xml:space="preserve">T6 Joint response exercise with MDRRMO and Coast Guard</t>
  </si>
  <si>
    <t xml:space="preserve">T7 Refresher training</t>
  </si>
  <si>
    <t xml:space="preserve">T8 Maintenance training for LGU technicians</t>
  </si>
  <si>
    <t xml:space="preserve">T9 Training evaluation report</t>
  </si>
  <si>
    <t xml:space="preserve">P1 Communication kit</t>
  </si>
  <si>
    <t xml:space="preserve">P2 AqOne Facebook page active</t>
  </si>
  <si>
    <t xml:space="preserve">P8a Stakeholder briefing 1</t>
  </si>
  <si>
    <t xml:space="preserve">P3 Barangay assemblies in coastal barangays</t>
  </si>
  <si>
    <t xml:space="preserve">P4 IEC materials printed and placed</t>
  </si>
  <si>
    <t xml:space="preserve">P8b Stakeholder briefing 2</t>
  </si>
  <si>
    <t xml:space="preserve">P5 Community launch and demo day</t>
  </si>
  <si>
    <t xml:space="preserve">P6 Local media feature</t>
  </si>
  <si>
    <t xml:space="preserve">P7 Fisher stories and documentation</t>
  </si>
  <si>
    <t xml:space="preserve">P8c Stakeholder briefing 3</t>
  </si>
  <si>
    <t xml:space="preserve">P9 Outreach to neighbouring LGUs</t>
  </si>
  <si>
    <t xml:space="preserve">P10 Pilot results forum</t>
  </si>
  <si>
    <t xml:space="preserve">D23 Conference abstract</t>
  </si>
  <si>
    <t xml:space="preserve">P8d Stakeholder briefing 4</t>
  </si>
  <si>
    <t xml:space="preserve">D14 Six-month validation period (supported SOS operation)</t>
  </si>
  <si>
    <t xml:space="preserve">D21 Handover package</t>
  </si>
  <si>
    <t xml:space="preserve">R1 Quarterly report 1</t>
  </si>
  <si>
    <t xml:space="preserve">R2 Quarterly report 2 and mid-year review</t>
  </si>
  <si>
    <t xml:space="preserve">D17 Actual cost report</t>
  </si>
  <si>
    <t xml:space="preserve">R3 Quarterly report 3</t>
  </si>
  <si>
    <t xml:space="preserve">D22 Final report and dataset</t>
  </si>
  <si>
    <t xml:space="preserve">R4 Quarterly report 4</t>
  </si>
  <si>
    <t xml:space="preserve">D16 Year 2 proposal presented to the LGU</t>
  </si>
  <si>
    <t xml:space="preserve">D20 Year 2 commitment from New Washington</t>
  </si>
  <si>
    <t xml:space="preserve">Gates (see Gates sheet)</t>
  </si>
  <si>
    <t xml:space="preserve">▲ G1</t>
  </si>
  <si>
    <t xml:space="preserve">▲ G2</t>
  </si>
  <si>
    <t xml:space="preserve">▲ G3</t>
  </si>
  <si>
    <t xml:space="preserve">Training Plan: Fishers, MDRRMO and LGU</t>
  </si>
  <si>
    <t xml:space="preserve">Every session with its audience, length, topics, trainer, timing and how we check that people learned.</t>
  </si>
  <si>
    <t xml:space="preserve">Session</t>
  </si>
  <si>
    <t xml:space="preserve">Audience and size</t>
  </si>
  <si>
    <t xml:space="preserve">Length</t>
  </si>
  <si>
    <t xml:space="preserve">Topics</t>
  </si>
  <si>
    <t xml:space="preserve">Trainer</t>
  </si>
  <si>
    <t xml:space="preserve">When</t>
  </si>
  <si>
    <t xml:space="preserve">How we check learning</t>
  </si>
  <si>
    <t xml:space="preserve">SOS response SOP workshop</t>
  </si>
  <si>
    <t xml:space="preserve">MDRRMO head and duty officers, Coast Guard and BFAR focal persons (6-10)</t>
  </si>
  <si>
    <t xml:space="preserve">Half day</t>
  </si>
  <si>
    <t xml:space="preserve">Who receives and acknowledges an SOS; target times (acknowledge within 10 min); escalation to Coast Guard and BFAR; contact tree; what to tell families; record keeping.</t>
  </si>
  <si>
    <t xml:space="preserve">SOP signed by the MDRRMO head</t>
  </si>
  <si>
    <t xml:space="preserve">All operators on the duty rota (at least 4)</t>
  </si>
  <si>
    <t xml:space="preserve">1 day (6 h)</t>
  </si>
  <si>
    <t xml:space="preserve">Dashboard log-in and roles; reading SOS alerts, boat position and drift; acknowledging; following the SOP; device health; what to do when the system is down; practice with live test SOS.</t>
  </si>
  <si>
    <t xml:space="preserve">Each operator acknowledges a test SOS within 2 min; post-test 80%+</t>
  </si>
  <si>
    <t xml:space="preserve">5 respected fishers chosen with the fisherfolk association</t>
  </si>
  <si>
    <t xml:space="preserve">Half day + 1 week soft launch</t>
  </si>
  <si>
    <t xml:space="preserve">Everything in T5, plus how to help other fishers, how to report problems, basic troubleshooting.</t>
  </si>
  <si>
    <t xml:space="preserve">Competency checklist passed; can demonstrate to a peer</t>
  </si>
  <si>
    <t xml:space="preserve">Fisher training batches (3)</t>
  </si>
  <si>
    <t xml:space="preserve">20 boats, 1-2 fishers per boat (about 12-15 people per batch); family members welcome</t>
  </si>
  <si>
    <t xml:space="preserve">Half day each: 2 h classroom + 1 h practice at the shore</t>
  </si>
  <si>
    <t xml:space="preserve">What AqOne does and does not do; pairing phone and pod; sending SOS (app and pod button); what happens after an SOS; charging and battery level; strapping the pod; care and basic checks; privacy and consent; safety at sea reminders.</t>
  </si>
  <si>
    <t xml:space="preserve">Every fisher sends an SOS and charges a pod unaided before receiving a pod; pre/post test</t>
  </si>
  <si>
    <t xml:space="preserve">Joint response exercise</t>
  </si>
  <si>
    <t xml:space="preserve">MDRRMO, Coast Guard, BFAR, 5 champion fishers</t>
  </si>
  <si>
    <t xml:space="preserve">1 day</t>
  </si>
  <si>
    <t xml:space="preserve">Tabletop walk-through of the SOP, then a field drill: a champion boat sends SOS, MDRRMO acknowledges, Coast Guard responds; debrief.</t>
  </si>
  <si>
    <t xml:space="preserve">SOP followed end to end; lessons logged; SOP updated</t>
  </si>
  <si>
    <t xml:space="preserve">All active fishers and MDRRMO operators; replacement fishers</t>
  </si>
  <si>
    <t xml:space="preserve">2 h per group</t>
  </si>
  <si>
    <t xml:space="preserve">Common mistakes found in the first 2 months; new app features; survey feedback; repeat practice SOS.</t>
  </si>
  <si>
    <t xml:space="preserve">Attendance; practice SOS by each participant</t>
  </si>
  <si>
    <t xml:space="preserve">LGU technician maintenance training</t>
  </si>
  <si>
    <t xml:space="preserve">At least 2 LGU technicians</t>
  </si>
  <si>
    <t xml:space="preserve">2 days</t>
  </si>
  <si>
    <t xml:space="preserve">Health dashboard; inspection checklist; swapping pod batteries; resealing enclosures; replacing antennas and arrestors; safety at height and at sea.</t>
  </si>
  <si>
    <t xml:space="preserve">Each technician completes the tasks unaided</t>
  </si>
  <si>
    <t xml:space="preserve">Training evaluation</t>
  </si>
  <si>
    <t xml:space="preserve">All trainings above</t>
  </si>
  <si>
    <t xml:space="preserve">-</t>
  </si>
  <si>
    <t xml:space="preserve">Attendance, pre/post tests, competency pass rates, participant feedback, improvements for Year 2.</t>
  </si>
  <si>
    <t xml:space="preserve">Training rules: materials in Aklanon first; sessions near the fish landing at times that avoid fishing hours; no fisher receives a pod before passing the competency check; attendance and consent recorded for every session.</t>
  </si>
  <si>
    <t xml:space="preserve">Validation Plan</t>
  </si>
  <si>
    <t xml:space="preserve">What we measure to prove AqOne works, how, with how many, and what counts as a pass. The validation period is months 7-12; earlier items prove readiness.</t>
  </si>
  <si>
    <t xml:space="preserve">Test</t>
  </si>
  <si>
    <t xml:space="preserve">What we measure</t>
  </si>
  <si>
    <t xml:space="preserve">Method</t>
  </si>
  <si>
    <t xml:space="preserve">Sample</t>
  </si>
  <si>
    <t xml:space="preserve">Pass target</t>
  </si>
  <si>
    <t xml:space="preserve">Validation protocol</t>
  </si>
  <si>
    <t xml:space="preserve">Defines every test below, data handling and consent</t>
  </si>
  <si>
    <t xml:space="preserve">Written protocol reviewed by the faculty leader</t>
  </si>
  <si>
    <t xml:space="preserve">Approved before any field test</t>
  </si>
  <si>
    <t xml:space="preserve">Bench SOS test</t>
  </si>
  <si>
    <t xml:space="preserve">End-to-end delivery pod → gateway → dashboard; pod battery life</t>
  </si>
  <si>
    <t xml:space="preserve">Scripted test in the lab</t>
  </si>
  <si>
    <t xml:space="preserve">100 messages; 3 pods for battery</t>
  </si>
  <si>
    <t xml:space="preserve">100/100 delivered; battery 48 h+</t>
  </si>
  <si>
    <t xml:space="preserve">Coverage survey</t>
  </si>
  <si>
    <t xml:space="preserve">LoRa signal strength and delivery by location</t>
  </si>
  <si>
    <t xml:space="preserve">Boat runs with a test pod; GPS-tagged readings</t>
  </si>
  <si>
    <t xml:space="preserve">50+ points</t>
  </si>
  <si>
    <t xml:space="preserve">Coverage map; buoy positions confirmed</t>
  </si>
  <si>
    <t xml:space="preserve">Soft launch</t>
  </si>
  <si>
    <t xml:space="preserve">Real-world use on 5 boats before full rollout</t>
  </si>
  <si>
    <t xml:space="preserve">5 champion boats for 1 week</t>
  </si>
  <si>
    <t xml:space="preserve">5 boats, 10+ messages each</t>
  </si>
  <si>
    <t xml:space="preserve">All messages delivered or issues logged and fixed</t>
  </si>
  <si>
    <t xml:space="preserve">Can fishers use it without help?</t>
  </si>
  <si>
    <t xml:space="preserve">Observed tasks: pair, send SOS, check battery</t>
  </si>
  <si>
    <t xml:space="preserve">10+ fishers</t>
  </si>
  <si>
    <t xml:space="preserve">90%+ complete each task; SOS within 60 s</t>
  </si>
  <si>
    <t xml:space="preserve">SOS acceptance test</t>
  </si>
  <si>
    <t xml:space="preserve">Delivery, speed, acknowledgement, failure handling</t>
  </si>
  <si>
    <t xml:space="preserve">Scheduled drills at 3+ locations; power and carrier cut tests</t>
  </si>
  <si>
    <t xml:space="preserve">30+ drills</t>
  </si>
  <si>
    <t xml:space="preserve">95%+ within 2 min; acknowledged within 10 min; failure tests passed</t>
  </si>
  <si>
    <t xml:space="preserve">Six-month operation</t>
  </si>
  <si>
    <t xml:space="preserve">Uptime, outages, drills, inspections, active pods</t>
  </si>
  <si>
    <t xml:space="preserve">Monthly Ops sheet</t>
  </si>
  <si>
    <t xml:space="preserve">6 months</t>
  </si>
  <si>
    <t xml:space="preserve">All 6 months PASS</t>
  </si>
  <si>
    <t xml:space="preserve">Real response when MDRRMO does not know it is a drill</t>
  </si>
  <si>
    <t xml:space="preserve">Faculty leader triggers a drill at a random time</t>
  </si>
  <si>
    <t xml:space="preserve">1+ per month, M8-M12</t>
  </si>
  <si>
    <t xml:space="preserve">Acknowledged within 10 min in 90%+</t>
  </si>
  <si>
    <t xml:space="preserve">Night and rough-weather drills</t>
  </si>
  <si>
    <t xml:space="preserve">Performance in harder conditions</t>
  </si>
  <si>
    <t xml:space="preserve">Drills at night and in moderate seas, only when safe</t>
  </si>
  <si>
    <t xml:space="preserve">3 night + 2 rough</t>
  </si>
  <si>
    <t xml:space="preserve">Same targets as D13</t>
  </si>
  <si>
    <t xml:space="preserve">D15/D18</t>
  </si>
  <si>
    <t xml:space="preserve">Fisher feedback surveys</t>
  </si>
  <si>
    <t xml:space="preserve">Satisfaction, trust, problems, suggestions</t>
  </si>
  <si>
    <t xml:space="preserve">Short survey in Aklanon</t>
  </si>
  <si>
    <t xml:space="preserve">15+ boats each round</t>
  </si>
  <si>
    <t xml:space="preserve">Top issues logged and acted on</t>
  </si>
  <si>
    <t xml:space="preserve">Mid-pilot review</t>
  </si>
  <si>
    <t xml:space="preserve">Are we on track against the protocol?</t>
  </si>
  <si>
    <t xml:space="preserve">Review meeting with ASU and MDRRMO</t>
  </si>
  <si>
    <t xml:space="preserve">M7-M8 data</t>
  </si>
  <si>
    <t xml:space="preserve">Decisions recorded</t>
  </si>
  <si>
    <t xml:space="preserve">Improvement since round 1</t>
  </si>
  <si>
    <t xml:space="preserve">Repeat round 1 tasks</t>
  </si>
  <si>
    <t xml:space="preserve">15+ fishers</t>
  </si>
  <si>
    <t xml:space="preserve">Equal or better than round 1</t>
  </si>
  <si>
    <t xml:space="preserve">Experimental AI evaluation</t>
  </si>
  <si>
    <t xml:space="preserve">Squall, drift and catch features on pilot data</t>
  </si>
  <si>
    <t xml:space="preserve">Compare predictions with observed events</t>
  </si>
  <si>
    <t xml:space="preserve">All pilot data</t>
  </si>
  <si>
    <t xml:space="preserve">Reported separately; no SOS claims depend on it</t>
  </si>
  <si>
    <t xml:space="preserve">All results vs targets</t>
  </si>
  <si>
    <t xml:space="preserve">Compile raw data and results</t>
  </si>
  <si>
    <t xml:space="preserve">Whole pilot</t>
  </si>
  <si>
    <t xml:space="preserve">Complete report with limitations</t>
  </si>
  <si>
    <t xml:space="preserve">Yellow test names fall inside the validation period (months 7-12). Every result goes into the final validation report (V8), including failures.</t>
  </si>
  <si>
    <t xml:space="preserve">Promotion Plan</t>
  </si>
  <si>
    <t xml:space="preserve">How we build awareness and trust in New Washington and prepare Year 2 customers.</t>
  </si>
  <si>
    <t xml:space="preserve">Channel</t>
  </si>
  <si>
    <t xml:space="preserve">Audience</t>
  </si>
  <si>
    <t xml:space="preserve">Target (KPI)</t>
  </si>
  <si>
    <t xml:space="preserve">Internal</t>
  </si>
  <si>
    <t xml:space="preserve">Team, partners</t>
  </si>
  <si>
    <t xml:space="preserve">M1-M2</t>
  </si>
  <si>
    <t xml:space="preserve">Key messages in 3 languages; consent form for photos</t>
  </si>
  <si>
    <t xml:space="preserve">AqOne Facebook page</t>
  </si>
  <si>
    <t xml:space="preserve">Facebook (main channel)</t>
  </si>
  <si>
    <t xml:space="preserve">Fishers' families, community, LGUs</t>
  </si>
  <si>
    <t xml:space="preserve">M2-M12</t>
  </si>
  <si>
    <t xml:space="preserve">2+ posts per week; monthly reach report</t>
  </si>
  <si>
    <t xml:space="preserve">Barangay assemblies</t>
  </si>
  <si>
    <t xml:space="preserve">Face to face with LGU</t>
  </si>
  <si>
    <t xml:space="preserve">Fishers in coastal barangays</t>
  </si>
  <si>
    <t xml:space="preserve">M3-M4</t>
  </si>
  <si>
    <t xml:space="preserve">4+ assemblies; 20 boats signed up + waitlist</t>
  </si>
  <si>
    <t xml:space="preserve">IEC materials</t>
  </si>
  <si>
    <t xml:space="preserve">Tarpaulins, flyers (Aklanon)</t>
  </si>
  <si>
    <t xml:space="preserve">Fishers, port users, barangay halls</t>
  </si>
  <si>
    <t xml:space="preserve">Tarps placed at 4+ sites; flyers at every assembly</t>
  </si>
  <si>
    <t xml:space="preserve">Public event</t>
  </si>
  <si>
    <t xml:space="preserve">Community, LGU, MDRRMO, Coast Guard, BFAR, ASU</t>
  </si>
  <si>
    <t xml:space="preserve">60+ attendees; live SOS demo</t>
  </si>
  <si>
    <t xml:space="preserve">Local media</t>
  </si>
  <si>
    <t xml:space="preserve">Press release, local radio</t>
  </si>
  <si>
    <t xml:space="preserve">Aklan public</t>
  </si>
  <si>
    <t xml:space="preserve">M7-M8</t>
  </si>
  <si>
    <t xml:space="preserve">1+ feature</t>
  </si>
  <si>
    <t xml:space="preserve">Fisher stories</t>
  </si>
  <si>
    <t xml:space="preserve">Facebook, reports</t>
  </si>
  <si>
    <t xml:space="preserve">Community, investors, DOST</t>
  </si>
  <si>
    <t xml:space="preserve">M7-M11</t>
  </si>
  <si>
    <t xml:space="preserve">3+ stories with consent</t>
  </si>
  <si>
    <t xml:space="preserve">P8</t>
  </si>
  <si>
    <t xml:space="preserve">Stakeholder briefings (4)</t>
  </si>
  <si>
    <t xml:space="preserve">Meetings</t>
  </si>
  <si>
    <t xml:space="preserve">LGU, MDRRMO, BFAR, Coast Guard</t>
  </si>
  <si>
    <t xml:space="preserve">M3, M6, M9, M12</t>
  </si>
  <si>
    <t xml:space="preserve">Attendance and commitments recorded</t>
  </si>
  <si>
    <t xml:space="preserve">Neighbouring LGU outreach</t>
  </si>
  <si>
    <t xml:space="preserve">Presentations</t>
  </si>
  <si>
    <t xml:space="preserve">3+ Aklan coastal LGUs</t>
  </si>
  <si>
    <t xml:space="preserve">M10-M11</t>
  </si>
  <si>
    <t xml:space="preserve">1+ LOI (Year 2 pipeline)</t>
  </si>
  <si>
    <t xml:space="preserve">Stakeholders, community</t>
  </si>
  <si>
    <t xml:space="preserve">Results presented; Year 2 partners invited</t>
  </si>
  <si>
    <t xml:space="preserve">National research forum</t>
  </si>
  <si>
    <t xml:space="preserve">Researchers, DOST</t>
  </si>
  <si>
    <t xml:space="preserve">Abstract submitted</t>
  </si>
  <si>
    <t xml:space="preserve">Promotion rules: never show a fisher's face, name or boat without signed consent; never promise coverage we have not measured; sponsor logos (Year 2) never appear on SOS or alert screens.</t>
  </si>
  <si>
    <t xml:space="preserve">Validation Period Tracker (Months 7-12)</t>
  </si>
  <si>
    <t xml:space="preserve">Type the actual numbers each month in the yellow cells. A month passes when every target is met.</t>
  </si>
  <si>
    <t xml:space="preserve">TARGETS (change here if ASU or MDRRMO agree different ones)</t>
  </si>
  <si>
    <t xml:space="preserve">Network uptime (minimum)</t>
  </si>
  <si>
    <t xml:space="preserve">Longest outage (max. hours)</t>
  </si>
  <si>
    <t xml:space="preserve">SOS drills (min. per month)</t>
  </si>
  <si>
    <t xml:space="preserve">Unannounced drills (min., from M8)</t>
  </si>
  <si>
    <t xml:space="preserve">Inspection trips (min. per month)</t>
  </si>
  <si>
    <t xml:space="preserve">Pods used on trips (min., of 20)</t>
  </si>
  <si>
    <t xml:space="preserve">Uptime</t>
  </si>
  <si>
    <t xml:space="preserve">Longest outage (h)</t>
  </si>
  <si>
    <t xml:space="preserve">SOS drills</t>
  </si>
  <si>
    <t xml:space="preserve">Inspection trips</t>
  </si>
  <si>
    <t xml:space="preserve">Pods used on trips</t>
  </si>
  <si>
    <t xml:space="preserve">Result</t>
  </si>
  <si>
    <t xml:space="preserve">Incidents and notes</t>
  </si>
  <si>
    <t xml:space="preserve">Months passed</t>
  </si>
  <si>
    <t xml:space="preserve">D14 is met when all 6 months pass. In M7, unannounced drills are not yet required.</t>
  </si>
  <si>
    <t xml:space="preserve">Gates and Investor Milestone 1</t>
  </si>
  <si>
    <t xml:space="preserve">Each gate lists the deliverables it needs. Status is read from the Deliverables sheet.</t>
  </si>
  <si>
    <t xml:space="preserve">Needs deliverable</t>
  </si>
  <si>
    <t xml:space="preserve">Pass/fail test</t>
  </si>
  <si>
    <t xml:space="preserve">Gate result</t>
  </si>
  <si>
    <t xml:space="preserve">If not met: switch to plan B (ASU-arranged boats, buoys and gateway sites) before installation.</t>
  </si>
  <si>
    <t xml:space="preserve">If not met: do not go live; fix, re-test within 4 weeks.</t>
  </si>
  <si>
    <t xml:space="preserve">G3 Investor Milestone 1 (unlocks ₱3M)</t>
  </si>
  <si>
    <t xml:space="preserve">If not met: the investor may decline tranche 1. Proof: DOST/ASU reports, dashboard logs, signed Year 2 document.</t>
  </si>
  <si>
    <t xml:space="preserve">Investor Milestone 2 (end of Year 2, unlocks ₱5M): 3 paying municipalities, 150+ active pods, 1+ co-op purchase agreement, pilot LGU renews, deployment gross margin 35%+. P9 (neighbouring LGU outreach) starts that pipeline.</t>
  </si>
  <si>
    <t xml:space="preserve">Budget Notes: Costs This Plan Adds</t>
  </si>
  <si>
    <t xml:space="preserve">The current budget has only ₱8,000 for outreach (B.6). These promotion and training costs are estimates and are NOT yet in Aquanons_Master_Budget.xlsx. Decide with ASU which to add.</t>
  </si>
  <si>
    <t xml:space="preserve">For</t>
  </si>
  <si>
    <t xml:space="preserve">Item</t>
  </si>
  <si>
    <t xml:space="preserve">Qty</t>
  </si>
  <si>
    <t xml:space="preserve">Unit cost</t>
  </si>
  <si>
    <t xml:space="preserve">Total</t>
  </si>
  <si>
    <t xml:space="preserve">Basis</t>
  </si>
  <si>
    <t xml:space="preserve">T4, T5</t>
  </si>
  <si>
    <t xml:space="preserve">Fisher training snacks and meals</t>
  </si>
  <si>
    <t xml:space="preserve">About 45 fishers in 3 batches + 5 champions (estimate)</t>
  </si>
  <si>
    <t xml:space="preserve">Refresher training snacks</t>
  </si>
  <si>
    <t xml:space="preserve">Fishers and operators (estimate)</t>
  </si>
  <si>
    <t xml:space="preserve">T2, T3, T6</t>
  </si>
  <si>
    <t xml:space="preserve">MDRRMO workshops and joint exercise snacks</t>
  </si>
  <si>
    <t xml:space="preserve">SOP workshop, operator training, joint exercise (estimate)</t>
  </si>
  <si>
    <t xml:space="preserve">Printed training handouts and picture guides</t>
  </si>
  <si>
    <t xml:space="preserve">One per trained person plus spares (estimate)</t>
  </si>
  <si>
    <t xml:space="preserve">Barangay assembly snacks</t>
  </si>
  <si>
    <t xml:space="preserve">4 assemblies × about 30 people (estimate)</t>
  </si>
  <si>
    <t xml:space="preserve">Tarpaulins</t>
  </si>
  <si>
    <t xml:space="preserve">Fish landing, port, barangay halls, MDRRMO (estimate)</t>
  </si>
  <si>
    <t xml:space="preserve">Flyers in Aklanon</t>
  </si>
  <si>
    <t xml:space="preserve">Estimate</t>
  </si>
  <si>
    <t xml:space="preserve">Launch and demo day snacks</t>
  </si>
  <si>
    <t xml:space="preserve">Venue from the LGU in kind (estimate)</t>
  </si>
  <si>
    <t xml:space="preserve">Launch tarpaulin and program printing</t>
  </si>
  <si>
    <t xml:space="preserve">Results forum snacks</t>
  </si>
  <si>
    <t xml:space="preserve">Travel to 3 neighbouring LGUs</t>
  </si>
  <si>
    <t xml:space="preserve">Public transport rate for a small team (estimate)</t>
  </si>
  <si>
    <t xml:space="preserve">Facebook post boosting</t>
  </si>
  <si>
    <t xml:space="preserve">₱500/month M3-M12; CONFIRM DOST allows paid promotion (estimate)</t>
  </si>
  <si>
    <t xml:space="preserve">Total added by this plan</t>
  </si>
  <si>
    <t xml:space="preserve">Already in the budget (B.6 pilot community outreach)</t>
  </si>
  <si>
    <t xml:space="preserve">Extra needed beyond the current budget</t>
  </si>
  <si>
    <t xml:space="preserve">Confirm with ASU: whether meals and snacks for trainings are allowed and at what rate, and whether paid social media promotion is an eligible expense. Adding the extra amount raises the grant request (plus 5% contingency if allowed).</t>
  </si>
</sst>
</file>

<file path=xl/styles.xml><?xml version="1.0" encoding="utf-8"?>
<styleSheet xmlns="http://schemas.openxmlformats.org/spreadsheetml/2006/main">
  <numFmts count="10">
    <numFmt numFmtId="164" formatCode="General"/>
    <numFmt numFmtId="165" formatCode="mmm\ d&quot;, &quot;yyyy"/>
    <numFmt numFmtId="166" formatCode="\₱#,##0.00"/>
    <numFmt numFmtId="167" formatCode="0"/>
    <numFmt numFmtId="168" formatCode=";;;"/>
    <numFmt numFmtId="169" formatCode="0%"/>
    <numFmt numFmtId="170" formatCode="0.0%"/>
    <numFmt numFmtId="171" formatCode="0.0"/>
    <numFmt numFmtId="172" formatCode="#,##0"/>
    <numFmt numFmtId="173" formatCode="\₱#,##0"/>
  </numFmts>
  <fonts count="13">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0000FF"/>
      <name val="Arial"/>
      <family val="0"/>
      <charset val="1"/>
    </font>
    <font>
      <i val="true"/>
      <sz val="10"/>
      <color rgb="FF9C0006"/>
      <name val="Arial"/>
      <family val="0"/>
      <charset val="1"/>
    </font>
    <font>
      <sz val="10"/>
      <color rgb="FFFFFFFF"/>
      <name val="Arial"/>
      <family val="0"/>
      <charset val="1"/>
    </font>
    <font>
      <b val="true"/>
      <sz val="10"/>
      <color rgb="FF9C0006"/>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2F2F2"/>
        <bgColor rgb="FFEDEDED"/>
      </patternFill>
    </fill>
    <fill>
      <patternFill patternType="solid">
        <fgColor rgb="FFEDEDED"/>
        <bgColor rgb="FFF2F2F2"/>
      </patternFill>
    </fill>
    <fill>
      <patternFill patternType="solid">
        <fgColor rgb="FFDDEBF7"/>
        <bgColor rgb="FFDEEAF6"/>
      </patternFill>
    </fill>
    <fill>
      <patternFill patternType="solid">
        <fgColor rgb="FFE2EFDA"/>
        <bgColor rgb="FFEDEDED"/>
      </patternFill>
    </fill>
    <fill>
      <patternFill patternType="solid">
        <fgColor rgb="FFFCE4D6"/>
        <bgColor rgb="FFFFF2CC"/>
      </patternFill>
    </fill>
    <fill>
      <patternFill patternType="solid">
        <fgColor rgb="FFE4DFEC"/>
        <bgColor rgb="FFD9E1F2"/>
      </patternFill>
    </fill>
    <fill>
      <patternFill patternType="solid">
        <fgColor rgb="FFD9E1F2"/>
        <bgColor rgb="FFE4DFEC"/>
      </patternFill>
    </fill>
    <fill>
      <patternFill patternType="solid">
        <fgColor rgb="FFDEEAF6"/>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9" fontId="9" fillId="3" borderId="0" xfId="0" applyFont="tru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70" fontId="7" fillId="3" borderId="1" xfId="0" applyFont="true" applyBorder="true" applyAlignment="true" applyProtection="false">
      <alignment horizontal="general" vertical="top" textRotation="0" wrapText="true" indent="0" shrinkToFit="false"/>
      <protection locked="true" hidden="false"/>
    </xf>
    <xf numFmtId="171"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2" fontId="7" fillId="3" borderId="1" xfId="0" applyFont="true" applyBorder="true" applyAlignment="true" applyProtection="false">
      <alignment horizontal="general" vertical="top" textRotation="0" wrapText="true" indent="0" shrinkToFit="false"/>
      <protection locked="true" hidden="false"/>
    </xf>
    <xf numFmtId="173" fontId="7" fillId="3" borderId="1" xfId="0" applyFont="true" applyBorder="true" applyAlignment="true" applyProtection="false">
      <alignment horizontal="general" vertical="top" textRotation="0" wrapText="true" indent="0" shrinkToFit="false"/>
      <protection locked="true" hidden="false"/>
    </xf>
    <xf numFmtId="173" fontId="7" fillId="0" borderId="1" xfId="0" applyFont="true" applyBorder="true" applyAlignment="true" applyProtection="false">
      <alignment horizontal="general" vertical="top" textRotation="0" wrapText="true" indent="0" shrinkToFit="false"/>
      <protection locked="true" hidden="false"/>
    </xf>
    <xf numFmtId="173" fontId="6" fillId="6" borderId="1" xfId="0" applyFont="true" applyBorder="true" applyAlignment="true" applyProtection="false">
      <alignment horizontal="general" vertical="top" textRotation="0" wrapText="true" indent="0" shrinkToFit="false"/>
      <protection locked="true" hidden="false"/>
    </xf>
    <xf numFmtId="173"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F2F2F2"/>
          <bgColor rgb="FF000000"/>
        </patternFill>
      </fill>
    </dxf>
    <dxf>
      <fill>
        <patternFill patternType="solid">
          <bgColor rgb="FF000000"/>
        </patternFill>
      </fill>
    </dxf>
    <dxf>
      <fill>
        <patternFill patternType="solid">
          <fgColor rgb="FFD9E1F2"/>
          <bgColor rgb="FF000000"/>
        </patternFill>
      </fill>
    </dxf>
    <dxf>
      <fill>
        <patternFill patternType="solid">
          <fgColor rgb="FFDDEBF7"/>
          <bgColor rgb="FF000000"/>
        </patternFill>
      </fill>
    </dxf>
    <dxf>
      <fill>
        <patternFill patternType="solid">
          <fgColor rgb="FFDEEAF6"/>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bgColor rgb="FFC6EFCE"/>
        </patternFill>
      </fill>
    </dxf>
    <dxf>
      <fill>
        <patternFill>
          <bgColor rgb="FFFFC7CE"/>
        </patternFill>
      </fill>
    </dxf>
    <dxf>
      <fill>
        <patternFill>
          <bgColor rgb="FF5B9BD5"/>
        </patternFill>
      </fill>
    </dxf>
  </dxfs>
  <colors>
    <indexedColors>
      <rgbColor rgb="FF000000"/>
      <rgbColor rgb="FFFFFFFF"/>
      <rgbColor rgb="FFFF0000"/>
      <rgbColor rgb="FF00FF00"/>
      <rgbColor rgb="FF0000FF"/>
      <rgbColor rgb="FFF2F2F2"/>
      <rgbColor rgb="FFFF00FF"/>
      <rgbColor rgb="FF00FFFF"/>
      <rgbColor rgb="FF9C0006"/>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EEAF6"/>
      <rgbColor rgb="FFC6EFCE"/>
      <rgbColor rgb="FFFCE4D6"/>
      <rgbColor rgb="FFE4DFEC"/>
      <rgbColor rgb="FFEDEDED"/>
      <rgbColor rgb="FFE2EFDA"/>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20"/>
    <col collapsed="false" customWidth="true" hidden="false" outlineLevel="0" max="5" min="5" style="0" width="64"/>
  </cols>
  <sheetData>
    <row r="1" customFormat="false" ht="24" hidden="false" customHeight="true" outlineLevel="0" collapsed="false">
      <c r="A1" s="1" t="s">
        <v>0</v>
      </c>
    </row>
    <row r="2" customFormat="false" ht="30" hidden="false" customHeight="true" outlineLevel="0" collapsed="false">
      <c r="A2" s="2" t="s">
        <v>1</v>
      </c>
      <c r="B2" s="2"/>
      <c r="C2" s="2"/>
      <c r="D2" s="2"/>
      <c r="E2" s="2"/>
    </row>
    <row r="3" customFormat="false" ht="15" hidden="false" customHeight="false" outlineLevel="0" collapsed="false">
      <c r="B3" s="3" t="s">
        <v>2</v>
      </c>
      <c r="C3" s="4" t="s">
        <v>3</v>
      </c>
    </row>
    <row r="4" customFormat="false" ht="15" hidden="false" customHeight="false" outlineLevel="0" collapsed="false">
      <c r="B4" s="3" t="s">
        <v>4</v>
      </c>
      <c r="C4" s="4" t="s">
        <v>5</v>
      </c>
    </row>
    <row r="5" customFormat="false" ht="15" hidden="false" customHeight="false" outlineLevel="0" collapsed="false">
      <c r="B5" s="3" t="s">
        <v>6</v>
      </c>
      <c r="C5" s="4" t="s">
        <v>7</v>
      </c>
    </row>
    <row r="6" customFormat="false" ht="15" hidden="false" customHeight="false" outlineLevel="0" collapsed="false">
      <c r="B6" s="3" t="s">
        <v>8</v>
      </c>
      <c r="C6" s="4" t="s">
        <v>9</v>
      </c>
    </row>
    <row r="7" customFormat="false" ht="18.75" hidden="false" customHeight="true" outlineLevel="0" collapsed="false">
      <c r="A7" s="5" t="s">
        <v>10</v>
      </c>
      <c r="B7" s="5"/>
      <c r="C7" s="5"/>
      <c r="D7" s="5"/>
      <c r="E7" s="5"/>
    </row>
    <row r="8" customFormat="false" ht="23.85" hidden="false" customHeight="false" outlineLevel="0" collapsed="false">
      <c r="B8" s="3" t="s">
        <v>11</v>
      </c>
      <c r="C8" s="6" t="n">
        <v>46388</v>
      </c>
      <c r="E8" s="7" t="s">
        <v>12</v>
      </c>
    </row>
    <row r="9" customFormat="false" ht="15" hidden="false" customHeight="false" outlineLevel="0" collapsed="false">
      <c r="B9" s="3" t="s">
        <v>13</v>
      </c>
      <c r="C9" s="8" t="n">
        <f aca="false">EDATE(Overview!$C$8,12)-1</f>
        <v>46752</v>
      </c>
      <c r="E9" s="9"/>
    </row>
    <row r="10" customFormat="false" ht="23.85" hidden="false" customHeight="false" outlineLevel="0" collapsed="false">
      <c r="B10" s="3" t="s">
        <v>14</v>
      </c>
      <c r="C10" s="4" t="str">
        <f aca="false">TEXT(EDATE(Overview!$C$8,7-1),"mmm d, yyyy")&amp;" to "&amp;TEXT(EOMONTH(Overview!$C$8,12-1),"mmm d, yyyy")</f>
        <v>Jul 1, 2027 to Dec 31, 2027</v>
      </c>
      <c r="E10" s="9" t="s">
        <v>15</v>
      </c>
    </row>
    <row r="11" customFormat="false" ht="23.85" hidden="false" customHeight="false" outlineLevel="0" collapsed="false">
      <c r="B11" s="3" t="s">
        <v>16</v>
      </c>
      <c r="C11" s="10" t="n">
        <v>1705525.37</v>
      </c>
      <c r="E11" s="9" t="s">
        <v>17</v>
      </c>
    </row>
    <row r="13" customFormat="false" ht="18.75" hidden="false" customHeight="true" outlineLevel="0" collapsed="false">
      <c r="A13" s="5" t="s">
        <v>18</v>
      </c>
      <c r="B13" s="5"/>
      <c r="C13" s="5"/>
      <c r="D13" s="5"/>
      <c r="E13" s="5"/>
    </row>
    <row r="14" customFormat="false" ht="15" hidden="false" customHeight="false" outlineLevel="0" collapsed="false">
      <c r="A14" s="11"/>
      <c r="B14" s="11" t="s">
        <v>19</v>
      </c>
      <c r="C14" s="11" t="s">
        <v>20</v>
      </c>
      <c r="D14" s="11" t="s">
        <v>21</v>
      </c>
      <c r="E14" s="11" t="s">
        <v>22</v>
      </c>
    </row>
    <row r="15" customFormat="false" ht="30" hidden="false" customHeight="true" outlineLevel="0" collapsed="false">
      <c r="A15" s="12"/>
      <c r="B15" s="13" t="s">
        <v>23</v>
      </c>
      <c r="C15" s="14" t="n">
        <f aca="false">EDATE(Overview!$C$8,1-1)</f>
        <v>46388</v>
      </c>
      <c r="D15" s="14" t="n">
        <f aca="false">EOMONTH(Overview!$C$8,3-1)</f>
        <v>46477</v>
      </c>
      <c r="E15" s="12" t="s">
        <v>24</v>
      </c>
    </row>
    <row r="16" customFormat="false" ht="30" hidden="false" customHeight="true" outlineLevel="0" collapsed="false">
      <c r="A16" s="12"/>
      <c r="B16" s="13" t="s">
        <v>25</v>
      </c>
      <c r="C16" s="14" t="n">
        <f aca="false">EDATE(Overview!$C$8,4-1)</f>
        <v>46478</v>
      </c>
      <c r="D16" s="14" t="n">
        <f aca="false">EOMONTH(Overview!$C$8,6-1)</f>
        <v>46568</v>
      </c>
      <c r="E16" s="12" t="s">
        <v>26</v>
      </c>
    </row>
    <row r="17" customFormat="false" ht="42.75" hidden="false" customHeight="true" outlineLevel="0" collapsed="false">
      <c r="A17" s="12"/>
      <c r="B17" s="13" t="s">
        <v>27</v>
      </c>
      <c r="C17" s="14" t="n">
        <f aca="false">EDATE(Overview!$C$8,7-1)</f>
        <v>46569</v>
      </c>
      <c r="D17" s="14" t="n">
        <f aca="false">EOMONTH(Overview!$C$8,12-1)</f>
        <v>46752</v>
      </c>
      <c r="E17" s="12" t="s">
        <v>28</v>
      </c>
    </row>
    <row r="19" customFormat="false" ht="18.75" hidden="false" customHeight="true" outlineLevel="0" collapsed="false">
      <c r="A19" s="5" t="s">
        <v>29</v>
      </c>
      <c r="B19" s="5"/>
      <c r="C19" s="5"/>
      <c r="D19" s="5"/>
      <c r="E19" s="5"/>
    </row>
    <row r="20" customFormat="false" ht="15" hidden="false" customHeight="false" outlineLevel="0" collapsed="false">
      <c r="A20" s="11"/>
      <c r="B20" s="11" t="s">
        <v>30</v>
      </c>
      <c r="C20" s="11" t="s">
        <v>31</v>
      </c>
      <c r="D20" s="11" t="s">
        <v>32</v>
      </c>
      <c r="E20" s="11" t="s">
        <v>33</v>
      </c>
    </row>
    <row r="21" customFormat="false" ht="30" hidden="false" customHeight="true" outlineLevel="0" collapsed="false">
      <c r="A21" s="12"/>
      <c r="B21" s="15" t="s">
        <v>34</v>
      </c>
      <c r="C21" s="16" t="n">
        <f aca="false">COUNTIF(Deliverables!$B$5:$B$61,B21)</f>
        <v>3</v>
      </c>
      <c r="D21" s="12" t="s">
        <v>35</v>
      </c>
      <c r="E21" s="12" t="s">
        <v>36</v>
      </c>
    </row>
    <row r="22" customFormat="false" ht="30" hidden="false" customHeight="true" outlineLevel="0" collapsed="false">
      <c r="A22" s="12"/>
      <c r="B22" s="17" t="s">
        <v>37</v>
      </c>
      <c r="C22" s="16" t="n">
        <f aca="false">COUNTIF(Deliverables!$B$5:$B$61,B22)</f>
        <v>5</v>
      </c>
      <c r="D22" s="12" t="s">
        <v>38</v>
      </c>
      <c r="E22" s="12" t="s">
        <v>39</v>
      </c>
    </row>
    <row r="23" customFormat="false" ht="16.5" hidden="false" customHeight="true" outlineLevel="0" collapsed="false">
      <c r="A23" s="12"/>
      <c r="B23" s="18" t="s">
        <v>40</v>
      </c>
      <c r="C23" s="16" t="n">
        <f aca="false">COUNTIF(Deliverables!$B$5:$B$61,B23)</f>
        <v>2</v>
      </c>
      <c r="D23" s="12" t="s">
        <v>41</v>
      </c>
      <c r="E23" s="12" t="s">
        <v>42</v>
      </c>
    </row>
    <row r="24" customFormat="false" ht="30" hidden="false" customHeight="true" outlineLevel="0" collapsed="false">
      <c r="A24" s="12"/>
      <c r="B24" s="19" t="s">
        <v>43</v>
      </c>
      <c r="C24" s="16" t="n">
        <f aca="false">COUNTIF(Deliverables!$B$5:$B$61,B24)</f>
        <v>13</v>
      </c>
      <c r="D24" s="12" t="s">
        <v>44</v>
      </c>
      <c r="E24" s="12" t="s">
        <v>45</v>
      </c>
    </row>
    <row r="25" customFormat="false" ht="30" hidden="false" customHeight="true" outlineLevel="0" collapsed="false">
      <c r="A25" s="12"/>
      <c r="B25" s="20" t="s">
        <v>46</v>
      </c>
      <c r="C25" s="16" t="n">
        <f aca="false">COUNTIF(Deliverables!$B$5:$B$61,B25)</f>
        <v>10</v>
      </c>
      <c r="D25" s="12" t="s">
        <v>47</v>
      </c>
      <c r="E25" s="12" t="s">
        <v>48</v>
      </c>
    </row>
    <row r="26" customFormat="false" ht="42.75" hidden="false" customHeight="true" outlineLevel="0" collapsed="false">
      <c r="A26" s="12"/>
      <c r="B26" s="21" t="s">
        <v>49</v>
      </c>
      <c r="C26" s="16" t="n">
        <f aca="false">COUNTIF(Deliverables!$B$5:$B$61,B26)</f>
        <v>14</v>
      </c>
      <c r="D26" s="12" t="s">
        <v>50</v>
      </c>
      <c r="E26" s="12" t="s">
        <v>51</v>
      </c>
    </row>
    <row r="27" customFormat="false" ht="16.5" hidden="false" customHeight="true" outlineLevel="0" collapsed="false">
      <c r="A27" s="12"/>
      <c r="B27" s="22" t="s">
        <v>52</v>
      </c>
      <c r="C27" s="16" t="n">
        <f aca="false">COUNTIF(Deliverables!$B$5:$B$61,B27)</f>
        <v>2</v>
      </c>
      <c r="D27" s="12" t="s">
        <v>41</v>
      </c>
      <c r="E27" s="12" t="s">
        <v>53</v>
      </c>
    </row>
    <row r="28" customFormat="false" ht="16.5" hidden="false" customHeight="true" outlineLevel="0" collapsed="false">
      <c r="A28" s="12"/>
      <c r="B28" s="23" t="s">
        <v>54</v>
      </c>
      <c r="C28" s="16" t="n">
        <f aca="false">COUNTIF(Deliverables!$B$5:$B$61,B28)</f>
        <v>6</v>
      </c>
      <c r="D28" s="12" t="s">
        <v>55</v>
      </c>
      <c r="E28" s="12" t="s">
        <v>56</v>
      </c>
    </row>
    <row r="29" customFormat="false" ht="16.5" hidden="false" customHeight="true" outlineLevel="0" collapsed="false">
      <c r="A29" s="12"/>
      <c r="B29" s="24" t="s">
        <v>57</v>
      </c>
      <c r="C29" s="16" t="n">
        <f aca="false">COUNTIF(Deliverables!$B$5:$B$61,B29)</f>
        <v>2</v>
      </c>
      <c r="D29" s="12" t="s">
        <v>50</v>
      </c>
      <c r="E29" s="12" t="s">
        <v>58</v>
      </c>
    </row>
    <row r="31" customFormat="false" ht="18.75" hidden="false" customHeight="true" outlineLevel="0" collapsed="false">
      <c r="A31" s="5" t="s">
        <v>59</v>
      </c>
      <c r="B31" s="5"/>
      <c r="C31" s="5"/>
      <c r="D31" s="5"/>
      <c r="E31" s="5"/>
    </row>
    <row r="32" customFormat="false" ht="15" hidden="false" customHeight="false" outlineLevel="0" collapsed="false">
      <c r="A32" s="11"/>
      <c r="B32" s="11" t="s">
        <v>60</v>
      </c>
      <c r="C32" s="11" t="s">
        <v>61</v>
      </c>
      <c r="D32" s="11" t="s">
        <v>62</v>
      </c>
      <c r="E32" s="11" t="s">
        <v>63</v>
      </c>
    </row>
    <row r="33" customFormat="false" ht="30" hidden="false" customHeight="true" outlineLevel="0" collapsed="false">
      <c r="A33" s="12"/>
      <c r="B33" s="13" t="s">
        <v>64</v>
      </c>
      <c r="C33" s="14" t="n">
        <f aca="false">EOMONTH(Overview!$C$8,2-1)</f>
        <v>46446</v>
      </c>
      <c r="D33" s="12" t="s">
        <v>65</v>
      </c>
      <c r="E33" s="12" t="s">
        <v>66</v>
      </c>
    </row>
    <row r="34" customFormat="false" ht="30" hidden="false" customHeight="true" outlineLevel="0" collapsed="false">
      <c r="A34" s="12"/>
      <c r="B34" s="13" t="s">
        <v>67</v>
      </c>
      <c r="C34" s="14" t="n">
        <f aca="false">EOMONTH(Overview!$C$8,6-1)</f>
        <v>46568</v>
      </c>
      <c r="D34" s="12" t="s">
        <v>68</v>
      </c>
      <c r="E34" s="12" t="s">
        <v>69</v>
      </c>
    </row>
    <row r="35" customFormat="false" ht="30" hidden="false" customHeight="true" outlineLevel="0" collapsed="false">
      <c r="A35" s="12"/>
      <c r="B35" s="13" t="s">
        <v>70</v>
      </c>
      <c r="C35" s="14" t="n">
        <f aca="false">EOMONTH(Overview!$C$8,12-1)</f>
        <v>46752</v>
      </c>
      <c r="D35" s="12" t="s">
        <v>71</v>
      </c>
      <c r="E35" s="12" t="s">
        <v>72</v>
      </c>
    </row>
    <row r="37" customFormat="false" ht="18.75" hidden="false" customHeight="true" outlineLevel="0" collapsed="false">
      <c r="A37" s="5" t="s">
        <v>73</v>
      </c>
      <c r="B37" s="5"/>
      <c r="C37" s="5"/>
      <c r="D37" s="5"/>
      <c r="E37" s="5"/>
    </row>
    <row r="38" customFormat="false" ht="15" hidden="false" customHeight="false" outlineLevel="0" collapsed="false">
      <c r="A38" s="11"/>
      <c r="B38" s="11" t="s">
        <v>74</v>
      </c>
      <c r="C38" s="11" t="s">
        <v>75</v>
      </c>
      <c r="D38" s="11" t="s">
        <v>76</v>
      </c>
      <c r="E38" s="11" t="s">
        <v>77</v>
      </c>
    </row>
    <row r="39" customFormat="false" ht="42.75" hidden="false" customHeight="true" outlineLevel="0" collapsed="false">
      <c r="A39" s="12"/>
      <c r="B39" s="13" t="s">
        <v>44</v>
      </c>
      <c r="C39" s="12" t="s">
        <v>78</v>
      </c>
      <c r="D39" s="16" t="n">
        <v>20</v>
      </c>
      <c r="E39" s="12" t="s">
        <v>79</v>
      </c>
    </row>
    <row r="40" customFormat="false" ht="30" hidden="false" customHeight="true" outlineLevel="0" collapsed="false">
      <c r="A40" s="12"/>
      <c r="B40" s="13" t="s">
        <v>41</v>
      </c>
      <c r="C40" s="12" t="s">
        <v>80</v>
      </c>
      <c r="D40" s="16" t="n">
        <v>10</v>
      </c>
      <c r="E40" s="12" t="s">
        <v>81</v>
      </c>
    </row>
    <row r="41" customFormat="false" ht="16.5" hidden="false" customHeight="true" outlineLevel="0" collapsed="false">
      <c r="A41" s="12"/>
      <c r="B41" s="13" t="s">
        <v>82</v>
      </c>
      <c r="C41" s="12" t="s">
        <v>83</v>
      </c>
      <c r="D41" s="16" t="n">
        <v>10</v>
      </c>
      <c r="E41" s="12" t="s">
        <v>84</v>
      </c>
    </row>
    <row r="42" customFormat="false" ht="16.5" hidden="false" customHeight="true" outlineLevel="0" collapsed="false">
      <c r="A42" s="12"/>
      <c r="B42" s="13" t="s">
        <v>85</v>
      </c>
      <c r="C42" s="12" t="s">
        <v>86</v>
      </c>
      <c r="D42" s="16" t="n">
        <v>10</v>
      </c>
      <c r="E42" s="12" t="s">
        <v>87</v>
      </c>
    </row>
    <row r="43" customFormat="false" ht="42.75" hidden="false" customHeight="true" outlineLevel="0" collapsed="false">
      <c r="A43" s="12"/>
      <c r="B43" s="13" t="s">
        <v>88</v>
      </c>
      <c r="C43" s="12" t="s">
        <v>89</v>
      </c>
      <c r="D43" s="16" t="n">
        <v>10</v>
      </c>
      <c r="E43" s="12" t="s">
        <v>90</v>
      </c>
    </row>
    <row r="44" customFormat="false" ht="30" hidden="false" customHeight="true" outlineLevel="0" collapsed="false">
      <c r="A44" s="12"/>
      <c r="B44" s="13" t="s">
        <v>91</v>
      </c>
      <c r="C44" s="12" t="s">
        <v>92</v>
      </c>
      <c r="D44" s="16" t="n">
        <v>10</v>
      </c>
      <c r="E44" s="12" t="s">
        <v>93</v>
      </c>
    </row>
    <row r="45" customFormat="false" ht="30" hidden="false" customHeight="true" outlineLevel="0" collapsed="false">
      <c r="A45" s="12"/>
      <c r="B45" s="13" t="s">
        <v>94</v>
      </c>
      <c r="C45" s="12" t="s">
        <v>95</v>
      </c>
      <c r="D45" s="16"/>
      <c r="E45" s="12" t="s">
        <v>96</v>
      </c>
    </row>
    <row r="47" customFormat="false" ht="27.75" hidden="false" customHeight="true" outlineLevel="0" collapsed="false">
      <c r="B47" s="25" t="s">
        <v>97</v>
      </c>
      <c r="C47" s="25"/>
      <c r="D47" s="25"/>
      <c r="E47" s="25"/>
    </row>
  </sheetData>
  <mergeCells count="7">
    <mergeCell ref="A2:E2"/>
    <mergeCell ref="A7:E7"/>
    <mergeCell ref="A13:E13"/>
    <mergeCell ref="A19:E19"/>
    <mergeCell ref="A31:E31"/>
    <mergeCell ref="A37:E37"/>
    <mergeCell ref="B47:E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4"/>
    <col collapsed="false" customWidth="true" hidden="false" outlineLevel="0" max="5" min="4" style="0" width="8"/>
    <col collapsed="false" customWidth="true" hidden="false" outlineLevel="0" max="6" min="6" style="0" width="14"/>
    <col collapsed="false" customWidth="true" hidden="false" outlineLevel="0" max="7" min="7" style="0" width="22"/>
    <col collapsed="false" customWidth="true" hidden="false" outlineLevel="0" max="8" min="8" style="0" width="52"/>
    <col collapsed="false" customWidth="true" hidden="false" outlineLevel="0" max="9" min="9" style="0" width="22"/>
    <col collapsed="false" customWidth="true" hidden="false" outlineLevel="0" max="10" min="10" style="0" width="14"/>
    <col collapsed="false" customWidth="true" hidden="false" outlineLevel="0" max="12" min="11" style="0" width="13"/>
    <col collapsed="false" customWidth="true" hidden="false" outlineLevel="0" max="13" min="13" style="0" width="22"/>
  </cols>
  <sheetData>
    <row r="1" customFormat="false" ht="24" hidden="false" customHeight="true" outlineLevel="0" collapsed="false">
      <c r="A1" s="1" t="s">
        <v>98</v>
      </c>
    </row>
    <row r="2" customFormat="false" ht="30" hidden="false" customHeight="true" outlineLevel="0" collapsed="false">
      <c r="A2" s="2" t="s">
        <v>99</v>
      </c>
      <c r="B2" s="2"/>
      <c r="C2" s="2"/>
      <c r="D2" s="2"/>
      <c r="E2" s="2"/>
      <c r="F2" s="2"/>
      <c r="G2" s="2"/>
      <c r="H2" s="2"/>
      <c r="I2" s="2"/>
      <c r="J2" s="2"/>
      <c r="K2" s="2"/>
      <c r="L2" s="2"/>
      <c r="M2" s="2"/>
    </row>
    <row r="4" customFormat="false" ht="23.85" hidden="false" customHeight="false" outlineLevel="0" collapsed="false">
      <c r="A4" s="11" t="s">
        <v>100</v>
      </c>
      <c r="B4" s="11" t="s">
        <v>30</v>
      </c>
      <c r="C4" s="11" t="s">
        <v>101</v>
      </c>
      <c r="D4" s="11" t="s">
        <v>102</v>
      </c>
      <c r="E4" s="11" t="s">
        <v>103</v>
      </c>
      <c r="F4" s="11" t="s">
        <v>104</v>
      </c>
      <c r="G4" s="11" t="s">
        <v>4</v>
      </c>
      <c r="H4" s="11" t="s">
        <v>105</v>
      </c>
      <c r="I4" s="11" t="s">
        <v>106</v>
      </c>
      <c r="J4" s="11" t="s">
        <v>107</v>
      </c>
      <c r="K4" s="11" t="s">
        <v>2</v>
      </c>
      <c r="L4" s="11" t="s">
        <v>108</v>
      </c>
      <c r="M4" s="11" t="s">
        <v>109</v>
      </c>
    </row>
    <row r="5" customFormat="false" ht="30" hidden="false" customHeight="true" outlineLevel="0" collapsed="false">
      <c r="A5" s="13" t="s">
        <v>110</v>
      </c>
      <c r="B5" s="26" t="s">
        <v>37</v>
      </c>
      <c r="C5" s="13" t="s">
        <v>111</v>
      </c>
      <c r="D5" s="16" t="n">
        <v>1</v>
      </c>
      <c r="E5" s="16" t="n">
        <v>1</v>
      </c>
      <c r="F5" s="14" t="n">
        <f aca="false">EOMONTH(Overview!$C$8,E5-1)</f>
        <v>46418</v>
      </c>
      <c r="G5" s="12" t="s">
        <v>44</v>
      </c>
      <c r="H5" s="12" t="s">
        <v>112</v>
      </c>
      <c r="I5" s="12" t="s">
        <v>113</v>
      </c>
      <c r="J5" s="12"/>
      <c r="K5" s="27" t="s">
        <v>114</v>
      </c>
      <c r="L5" s="28"/>
      <c r="M5" s="12"/>
    </row>
    <row r="6" customFormat="false" ht="30" hidden="false" customHeight="true" outlineLevel="0" collapsed="false">
      <c r="A6" s="13" t="s">
        <v>115</v>
      </c>
      <c r="B6" s="29" t="s">
        <v>34</v>
      </c>
      <c r="C6" s="13" t="s">
        <v>116</v>
      </c>
      <c r="D6" s="16" t="n">
        <v>1</v>
      </c>
      <c r="E6" s="16" t="n">
        <v>1</v>
      </c>
      <c r="F6" s="14" t="n">
        <f aca="false">EOMONTH(Overview!$C$8,E6-1)</f>
        <v>46418</v>
      </c>
      <c r="G6" s="12" t="s">
        <v>117</v>
      </c>
      <c r="H6" s="12" t="s">
        <v>118</v>
      </c>
      <c r="I6" s="12" t="s">
        <v>119</v>
      </c>
      <c r="J6" s="12"/>
      <c r="K6" s="27" t="s">
        <v>114</v>
      </c>
      <c r="L6" s="28"/>
      <c r="M6" s="12"/>
    </row>
    <row r="7" customFormat="false" ht="30" hidden="false" customHeight="true" outlineLevel="0" collapsed="false">
      <c r="A7" s="13" t="s">
        <v>120</v>
      </c>
      <c r="B7" s="29" t="s">
        <v>34</v>
      </c>
      <c r="C7" s="13" t="s">
        <v>121</v>
      </c>
      <c r="D7" s="16" t="n">
        <v>1</v>
      </c>
      <c r="E7" s="16" t="n">
        <v>1</v>
      </c>
      <c r="F7" s="14" t="n">
        <f aca="false">EOMONTH(Overview!$C$8,E7-1)</f>
        <v>46418</v>
      </c>
      <c r="G7" s="12" t="s">
        <v>122</v>
      </c>
      <c r="H7" s="12" t="s">
        <v>123</v>
      </c>
      <c r="I7" s="12" t="s">
        <v>124</v>
      </c>
      <c r="J7" s="12"/>
      <c r="K7" s="27" t="s">
        <v>114</v>
      </c>
      <c r="L7" s="28"/>
      <c r="M7" s="12"/>
    </row>
    <row r="8" customFormat="false" ht="42.75" hidden="false" customHeight="true" outlineLevel="0" collapsed="false">
      <c r="A8" s="13" t="s">
        <v>125</v>
      </c>
      <c r="B8" s="30" t="s">
        <v>49</v>
      </c>
      <c r="C8" s="13" t="s">
        <v>126</v>
      </c>
      <c r="D8" s="16" t="n">
        <v>1</v>
      </c>
      <c r="E8" s="16" t="n">
        <v>2</v>
      </c>
      <c r="F8" s="14" t="n">
        <f aca="false">EOMONTH(Overview!$C$8,E8-1)</f>
        <v>46446</v>
      </c>
      <c r="G8" s="12" t="s">
        <v>122</v>
      </c>
      <c r="H8" s="12" t="s">
        <v>127</v>
      </c>
      <c r="I8" s="12" t="s">
        <v>128</v>
      </c>
      <c r="J8" s="12"/>
      <c r="K8" s="27" t="s">
        <v>114</v>
      </c>
      <c r="L8" s="28"/>
      <c r="M8" s="12"/>
    </row>
    <row r="9" customFormat="false" ht="42.75" hidden="false" customHeight="true" outlineLevel="0" collapsed="false">
      <c r="A9" s="13" t="s">
        <v>129</v>
      </c>
      <c r="B9" s="29" t="s">
        <v>34</v>
      </c>
      <c r="C9" s="13" t="s">
        <v>130</v>
      </c>
      <c r="D9" s="16" t="n">
        <v>1</v>
      </c>
      <c r="E9" s="16" t="n">
        <v>2</v>
      </c>
      <c r="F9" s="14" t="n">
        <f aca="false">EOMONTH(Overview!$C$8,E9-1)</f>
        <v>46446</v>
      </c>
      <c r="G9" s="12" t="s">
        <v>131</v>
      </c>
      <c r="H9" s="12" t="s">
        <v>132</v>
      </c>
      <c r="I9" s="12" t="s">
        <v>133</v>
      </c>
      <c r="J9" s="12" t="s">
        <v>134</v>
      </c>
      <c r="K9" s="27" t="s">
        <v>114</v>
      </c>
      <c r="L9" s="28"/>
      <c r="M9" s="12"/>
    </row>
    <row r="10" customFormat="false" ht="42.75" hidden="false" customHeight="true" outlineLevel="0" collapsed="false">
      <c r="A10" s="13" t="s">
        <v>135</v>
      </c>
      <c r="B10" s="26" t="s">
        <v>37</v>
      </c>
      <c r="C10" s="13" t="s">
        <v>136</v>
      </c>
      <c r="D10" s="16" t="n">
        <v>1</v>
      </c>
      <c r="E10" s="16" t="n">
        <v>3</v>
      </c>
      <c r="F10" s="14" t="n">
        <f aca="false">EOMONTH(Overview!$C$8,E10-1)</f>
        <v>46477</v>
      </c>
      <c r="G10" s="12" t="s">
        <v>41</v>
      </c>
      <c r="H10" s="12" t="s">
        <v>137</v>
      </c>
      <c r="I10" s="12" t="s">
        <v>138</v>
      </c>
      <c r="J10" s="12"/>
      <c r="K10" s="27" t="s">
        <v>114</v>
      </c>
      <c r="L10" s="28"/>
      <c r="M10" s="12"/>
    </row>
    <row r="11" customFormat="false" ht="30" hidden="false" customHeight="true" outlineLevel="0" collapsed="false">
      <c r="A11" s="13" t="s">
        <v>139</v>
      </c>
      <c r="B11" s="26" t="s">
        <v>37</v>
      </c>
      <c r="C11" s="13" t="s">
        <v>140</v>
      </c>
      <c r="D11" s="16" t="n">
        <v>1</v>
      </c>
      <c r="E11" s="16" t="n">
        <v>3</v>
      </c>
      <c r="F11" s="14" t="n">
        <f aca="false">EOMONTH(Overview!$C$8,E11-1)</f>
        <v>46477</v>
      </c>
      <c r="G11" s="12" t="s">
        <v>82</v>
      </c>
      <c r="H11" s="12" t="s">
        <v>141</v>
      </c>
      <c r="I11" s="12" t="s">
        <v>142</v>
      </c>
      <c r="J11" s="12"/>
      <c r="K11" s="27" t="s">
        <v>114</v>
      </c>
      <c r="L11" s="28"/>
      <c r="M11" s="12"/>
    </row>
    <row r="12" customFormat="false" ht="30" hidden="false" customHeight="true" outlineLevel="0" collapsed="false">
      <c r="A12" s="13" t="s">
        <v>143</v>
      </c>
      <c r="B12" s="26" t="s">
        <v>37</v>
      </c>
      <c r="C12" s="13" t="s">
        <v>144</v>
      </c>
      <c r="D12" s="16" t="n">
        <v>1</v>
      </c>
      <c r="E12" s="16" t="n">
        <v>3</v>
      </c>
      <c r="F12" s="14" t="n">
        <f aca="false">EOMONTH(Overview!$C$8,E12-1)</f>
        <v>46477</v>
      </c>
      <c r="G12" s="12" t="s">
        <v>85</v>
      </c>
      <c r="H12" s="12" t="s">
        <v>145</v>
      </c>
      <c r="I12" s="12" t="s">
        <v>146</v>
      </c>
      <c r="J12" s="12"/>
      <c r="K12" s="27" t="s">
        <v>114</v>
      </c>
      <c r="L12" s="28"/>
      <c r="M12" s="12"/>
    </row>
    <row r="13" customFormat="false" ht="42.75" hidden="false" customHeight="true" outlineLevel="0" collapsed="false">
      <c r="A13" s="13" t="s">
        <v>147</v>
      </c>
      <c r="B13" s="27" t="s">
        <v>43</v>
      </c>
      <c r="C13" s="13" t="s">
        <v>148</v>
      </c>
      <c r="D13" s="16" t="n">
        <v>2</v>
      </c>
      <c r="E13" s="16" t="n">
        <v>3</v>
      </c>
      <c r="F13" s="14" t="n">
        <f aca="false">EOMONTH(Overview!$C$8,E13-1)</f>
        <v>46477</v>
      </c>
      <c r="G13" s="12" t="s">
        <v>149</v>
      </c>
      <c r="H13" s="12" t="s">
        <v>150</v>
      </c>
      <c r="I13" s="12" t="s">
        <v>151</v>
      </c>
      <c r="J13" s="12"/>
      <c r="K13" s="27" t="s">
        <v>114</v>
      </c>
      <c r="L13" s="28"/>
      <c r="M13" s="12"/>
    </row>
    <row r="14" customFormat="false" ht="30" hidden="false" customHeight="true" outlineLevel="0" collapsed="false">
      <c r="A14" s="13" t="s">
        <v>152</v>
      </c>
      <c r="B14" s="26" t="s">
        <v>37</v>
      </c>
      <c r="C14" s="13" t="s">
        <v>153</v>
      </c>
      <c r="D14" s="16" t="n">
        <v>2</v>
      </c>
      <c r="E14" s="16" t="n">
        <v>3</v>
      </c>
      <c r="F14" s="14" t="n">
        <f aca="false">EOMONTH(Overview!$C$8,E14-1)</f>
        <v>46477</v>
      </c>
      <c r="G14" s="12" t="s">
        <v>154</v>
      </c>
      <c r="H14" s="12" t="s">
        <v>155</v>
      </c>
      <c r="I14" s="12" t="s">
        <v>156</v>
      </c>
      <c r="J14" s="12"/>
      <c r="K14" s="27" t="s">
        <v>114</v>
      </c>
      <c r="L14" s="28"/>
      <c r="M14" s="12"/>
    </row>
    <row r="15" customFormat="false" ht="30" hidden="false" customHeight="true" outlineLevel="0" collapsed="false">
      <c r="A15" s="13" t="s">
        <v>157</v>
      </c>
      <c r="B15" s="31" t="s">
        <v>54</v>
      </c>
      <c r="C15" s="13" t="s">
        <v>158</v>
      </c>
      <c r="D15" s="16" t="n">
        <v>3</v>
      </c>
      <c r="E15" s="16" t="n">
        <v>3</v>
      </c>
      <c r="F15" s="14" t="n">
        <f aca="false">EOMONTH(Overview!$C$8,E15-1)</f>
        <v>46477</v>
      </c>
      <c r="G15" s="12" t="s">
        <v>159</v>
      </c>
      <c r="H15" s="12" t="s">
        <v>160</v>
      </c>
      <c r="I15" s="12" t="s">
        <v>161</v>
      </c>
      <c r="J15" s="12"/>
      <c r="K15" s="27" t="s">
        <v>114</v>
      </c>
      <c r="L15" s="28"/>
      <c r="M15" s="12"/>
    </row>
    <row r="16" customFormat="false" ht="30" hidden="false" customHeight="true" outlineLevel="0" collapsed="false">
      <c r="A16" s="13" t="s">
        <v>162</v>
      </c>
      <c r="B16" s="30" t="s">
        <v>49</v>
      </c>
      <c r="C16" s="13" t="s">
        <v>163</v>
      </c>
      <c r="D16" s="16" t="n">
        <v>3</v>
      </c>
      <c r="E16" s="16" t="n">
        <v>3</v>
      </c>
      <c r="F16" s="14" t="n">
        <f aca="false">EOMONTH(Overview!$C$8,E16-1)</f>
        <v>46477</v>
      </c>
      <c r="G16" s="12" t="s">
        <v>164</v>
      </c>
      <c r="H16" s="12" t="s">
        <v>165</v>
      </c>
      <c r="I16" s="12" t="s">
        <v>166</v>
      </c>
      <c r="J16" s="12"/>
      <c r="K16" s="27" t="s">
        <v>114</v>
      </c>
      <c r="L16" s="28"/>
      <c r="M16" s="12"/>
    </row>
    <row r="17" customFormat="false" ht="42.75" hidden="false" customHeight="true" outlineLevel="0" collapsed="false">
      <c r="A17" s="13" t="s">
        <v>167</v>
      </c>
      <c r="B17" s="30" t="s">
        <v>49</v>
      </c>
      <c r="C17" s="13" t="s">
        <v>168</v>
      </c>
      <c r="D17" s="16" t="n">
        <v>3</v>
      </c>
      <c r="E17" s="16" t="n">
        <v>4</v>
      </c>
      <c r="F17" s="14" t="n">
        <f aca="false">EOMONTH(Overview!$C$8,E17-1)</f>
        <v>46507</v>
      </c>
      <c r="G17" s="12" t="s">
        <v>169</v>
      </c>
      <c r="H17" s="12" t="s">
        <v>170</v>
      </c>
      <c r="I17" s="12" t="s">
        <v>171</v>
      </c>
      <c r="J17" s="12"/>
      <c r="K17" s="27" t="s">
        <v>114</v>
      </c>
      <c r="L17" s="28"/>
      <c r="M17" s="12"/>
    </row>
    <row r="18" customFormat="false" ht="42.75" hidden="false" customHeight="true" outlineLevel="0" collapsed="false">
      <c r="A18" s="13" t="s">
        <v>172</v>
      </c>
      <c r="B18" s="27" t="s">
        <v>43</v>
      </c>
      <c r="C18" s="13" t="s">
        <v>173</v>
      </c>
      <c r="D18" s="16" t="n">
        <v>4</v>
      </c>
      <c r="E18" s="16" t="n">
        <v>4</v>
      </c>
      <c r="F18" s="14" t="n">
        <f aca="false">EOMONTH(Overview!$C$8,E18-1)</f>
        <v>46507</v>
      </c>
      <c r="G18" s="12" t="s">
        <v>174</v>
      </c>
      <c r="H18" s="12" t="s">
        <v>175</v>
      </c>
      <c r="I18" s="12" t="s">
        <v>176</v>
      </c>
      <c r="J18" s="12"/>
      <c r="K18" s="27" t="s">
        <v>114</v>
      </c>
      <c r="L18" s="28"/>
      <c r="M18" s="12"/>
    </row>
    <row r="19" customFormat="false" ht="30" hidden="false" customHeight="true" outlineLevel="0" collapsed="false">
      <c r="A19" s="13" t="s">
        <v>177</v>
      </c>
      <c r="B19" s="32" t="s">
        <v>46</v>
      </c>
      <c r="C19" s="13" t="s">
        <v>178</v>
      </c>
      <c r="D19" s="16" t="n">
        <v>4</v>
      </c>
      <c r="E19" s="16" t="n">
        <v>5</v>
      </c>
      <c r="F19" s="14" t="n">
        <f aca="false">EOMONTH(Overview!$C$8,E19-1)</f>
        <v>46538</v>
      </c>
      <c r="G19" s="12" t="s">
        <v>179</v>
      </c>
      <c r="H19" s="12" t="s">
        <v>180</v>
      </c>
      <c r="I19" s="12" t="s">
        <v>181</v>
      </c>
      <c r="J19" s="12"/>
      <c r="K19" s="27" t="s">
        <v>114</v>
      </c>
      <c r="L19" s="28"/>
      <c r="M19" s="12"/>
    </row>
    <row r="20" customFormat="false" ht="42.75" hidden="false" customHeight="true" outlineLevel="0" collapsed="false">
      <c r="A20" s="13" t="s">
        <v>182</v>
      </c>
      <c r="B20" s="32" t="s">
        <v>46</v>
      </c>
      <c r="C20" s="13" t="s">
        <v>183</v>
      </c>
      <c r="D20" s="16" t="n">
        <v>4</v>
      </c>
      <c r="E20" s="16" t="n">
        <v>5</v>
      </c>
      <c r="F20" s="14" t="n">
        <f aca="false">EOMONTH(Overview!$C$8,E20-1)</f>
        <v>46538</v>
      </c>
      <c r="G20" s="12" t="s">
        <v>184</v>
      </c>
      <c r="H20" s="12" t="s">
        <v>185</v>
      </c>
      <c r="I20" s="12" t="s">
        <v>186</v>
      </c>
      <c r="J20" s="12"/>
      <c r="K20" s="27" t="s">
        <v>114</v>
      </c>
      <c r="L20" s="28"/>
      <c r="M20" s="12"/>
    </row>
    <row r="21" customFormat="false" ht="42.75" hidden="false" customHeight="true" outlineLevel="0" collapsed="false">
      <c r="A21" s="13" t="s">
        <v>187</v>
      </c>
      <c r="B21" s="32" t="s">
        <v>46</v>
      </c>
      <c r="C21" s="13" t="s">
        <v>188</v>
      </c>
      <c r="D21" s="16" t="n">
        <v>4</v>
      </c>
      <c r="E21" s="16" t="n">
        <v>5</v>
      </c>
      <c r="F21" s="14" t="n">
        <f aca="false">EOMONTH(Overview!$C$8,E21-1)</f>
        <v>46538</v>
      </c>
      <c r="G21" s="12" t="s">
        <v>189</v>
      </c>
      <c r="H21" s="12" t="s">
        <v>190</v>
      </c>
      <c r="I21" s="12" t="s">
        <v>191</v>
      </c>
      <c r="J21" s="12" t="s">
        <v>192</v>
      </c>
      <c r="K21" s="27" t="s">
        <v>114</v>
      </c>
      <c r="L21" s="28"/>
      <c r="M21" s="12"/>
    </row>
    <row r="22" customFormat="false" ht="30" hidden="false" customHeight="true" outlineLevel="0" collapsed="false">
      <c r="A22" s="13" t="s">
        <v>193</v>
      </c>
      <c r="B22" s="30" t="s">
        <v>49</v>
      </c>
      <c r="C22" s="13" t="s">
        <v>194</v>
      </c>
      <c r="D22" s="16" t="n">
        <v>5</v>
      </c>
      <c r="E22" s="16" t="n">
        <v>5</v>
      </c>
      <c r="F22" s="14" t="n">
        <f aca="false">EOMONTH(Overview!$C$8,E22-1)</f>
        <v>46538</v>
      </c>
      <c r="G22" s="12" t="s">
        <v>50</v>
      </c>
      <c r="H22" s="12" t="s">
        <v>195</v>
      </c>
      <c r="I22" s="12" t="s">
        <v>196</v>
      </c>
      <c r="J22" s="12"/>
      <c r="K22" s="27" t="s">
        <v>114</v>
      </c>
      <c r="L22" s="28"/>
      <c r="M22" s="12"/>
    </row>
    <row r="23" customFormat="false" ht="30" hidden="false" customHeight="true" outlineLevel="0" collapsed="false">
      <c r="A23" s="13" t="s">
        <v>197</v>
      </c>
      <c r="B23" s="33" t="s">
        <v>40</v>
      </c>
      <c r="C23" s="13" t="s">
        <v>198</v>
      </c>
      <c r="D23" s="16" t="n">
        <v>5</v>
      </c>
      <c r="E23" s="16" t="n">
        <v>5</v>
      </c>
      <c r="F23" s="14" t="n">
        <f aca="false">EOMONTH(Overview!$C$8,E23-1)</f>
        <v>46538</v>
      </c>
      <c r="G23" s="12" t="s">
        <v>154</v>
      </c>
      <c r="H23" s="12" t="s">
        <v>199</v>
      </c>
      <c r="I23" s="12" t="s">
        <v>200</v>
      </c>
      <c r="J23" s="12"/>
      <c r="K23" s="27" t="s">
        <v>114</v>
      </c>
      <c r="L23" s="28"/>
      <c r="M23" s="12"/>
    </row>
    <row r="24" customFormat="false" ht="42.75" hidden="false" customHeight="true" outlineLevel="0" collapsed="false">
      <c r="A24" s="13" t="s">
        <v>201</v>
      </c>
      <c r="B24" s="32" t="s">
        <v>46</v>
      </c>
      <c r="C24" s="13" t="s">
        <v>202</v>
      </c>
      <c r="D24" s="16" t="n">
        <v>6</v>
      </c>
      <c r="E24" s="16" t="n">
        <v>6</v>
      </c>
      <c r="F24" s="14" t="n">
        <f aca="false">EOMONTH(Overview!$C$8,E24-1)</f>
        <v>46568</v>
      </c>
      <c r="G24" s="12" t="s">
        <v>203</v>
      </c>
      <c r="H24" s="12" t="s">
        <v>204</v>
      </c>
      <c r="I24" s="12" t="s">
        <v>205</v>
      </c>
      <c r="J24" s="12" t="s">
        <v>192</v>
      </c>
      <c r="K24" s="27" t="s">
        <v>114</v>
      </c>
      <c r="L24" s="28"/>
      <c r="M24" s="12"/>
    </row>
    <row r="25" customFormat="false" ht="42.75" hidden="false" customHeight="true" outlineLevel="0" collapsed="false">
      <c r="A25" s="13" t="s">
        <v>206</v>
      </c>
      <c r="B25" s="32" t="s">
        <v>46</v>
      </c>
      <c r="C25" s="13" t="s">
        <v>207</v>
      </c>
      <c r="D25" s="16" t="n">
        <v>6</v>
      </c>
      <c r="E25" s="16" t="n">
        <v>6</v>
      </c>
      <c r="F25" s="14" t="n">
        <f aca="false">EOMONTH(Overview!$C$8,E25-1)</f>
        <v>46568</v>
      </c>
      <c r="G25" s="12" t="s">
        <v>208</v>
      </c>
      <c r="H25" s="12" t="s">
        <v>209</v>
      </c>
      <c r="I25" s="12" t="s">
        <v>210</v>
      </c>
      <c r="J25" s="12"/>
      <c r="K25" s="27" t="s">
        <v>114</v>
      </c>
      <c r="L25" s="28"/>
      <c r="M25" s="12"/>
    </row>
    <row r="26" customFormat="false" ht="42.75" hidden="false" customHeight="true" outlineLevel="0" collapsed="false">
      <c r="A26" s="13" t="s">
        <v>211</v>
      </c>
      <c r="B26" s="27" t="s">
        <v>43</v>
      </c>
      <c r="C26" s="13" t="s">
        <v>212</v>
      </c>
      <c r="D26" s="16" t="n">
        <v>6</v>
      </c>
      <c r="E26" s="16" t="n">
        <v>6</v>
      </c>
      <c r="F26" s="14" t="n">
        <f aca="false">EOMONTH(Overview!$C$8,E26-1)</f>
        <v>46568</v>
      </c>
      <c r="G26" s="12" t="s">
        <v>213</v>
      </c>
      <c r="H26" s="12" t="s">
        <v>214</v>
      </c>
      <c r="I26" s="12" t="s">
        <v>215</v>
      </c>
      <c r="J26" s="12"/>
      <c r="K26" s="27" t="s">
        <v>114</v>
      </c>
      <c r="L26" s="28"/>
      <c r="M26" s="12"/>
    </row>
    <row r="27" customFormat="false" ht="42.75" hidden="false" customHeight="true" outlineLevel="0" collapsed="false">
      <c r="A27" s="13" t="s">
        <v>216</v>
      </c>
      <c r="B27" s="27" t="s">
        <v>43</v>
      </c>
      <c r="C27" s="13" t="s">
        <v>217</v>
      </c>
      <c r="D27" s="16" t="n">
        <v>6</v>
      </c>
      <c r="E27" s="16" t="n">
        <v>6</v>
      </c>
      <c r="F27" s="14" t="n">
        <f aca="false">EOMONTH(Overview!$C$8,E27-1)</f>
        <v>46568</v>
      </c>
      <c r="G27" s="12" t="s">
        <v>82</v>
      </c>
      <c r="H27" s="12" t="s">
        <v>218</v>
      </c>
      <c r="I27" s="12" t="s">
        <v>219</v>
      </c>
      <c r="J27" s="12"/>
      <c r="K27" s="27" t="s">
        <v>114</v>
      </c>
      <c r="L27" s="28"/>
      <c r="M27" s="12"/>
    </row>
    <row r="28" customFormat="false" ht="55.5" hidden="false" customHeight="true" outlineLevel="0" collapsed="false">
      <c r="A28" s="13" t="s">
        <v>220</v>
      </c>
      <c r="B28" s="32" t="s">
        <v>46</v>
      </c>
      <c r="C28" s="13" t="s">
        <v>221</v>
      </c>
      <c r="D28" s="16" t="n">
        <v>6</v>
      </c>
      <c r="E28" s="16" t="n">
        <v>6</v>
      </c>
      <c r="F28" s="14" t="n">
        <f aca="false">EOMONTH(Overview!$C$8,E28-1)</f>
        <v>46568</v>
      </c>
      <c r="G28" s="12" t="s">
        <v>222</v>
      </c>
      <c r="H28" s="12" t="s">
        <v>223</v>
      </c>
      <c r="I28" s="12" t="s">
        <v>224</v>
      </c>
      <c r="J28" s="12" t="s">
        <v>192</v>
      </c>
      <c r="K28" s="27" t="s">
        <v>114</v>
      </c>
      <c r="L28" s="28"/>
      <c r="M28" s="12"/>
    </row>
    <row r="29" customFormat="false" ht="30" hidden="false" customHeight="true" outlineLevel="0" collapsed="false">
      <c r="A29" s="13" t="s">
        <v>225</v>
      </c>
      <c r="B29" s="33" t="s">
        <v>40</v>
      </c>
      <c r="C29" s="13" t="s">
        <v>226</v>
      </c>
      <c r="D29" s="16" t="n">
        <v>6</v>
      </c>
      <c r="E29" s="16" t="n">
        <v>6</v>
      </c>
      <c r="F29" s="14" t="n">
        <f aca="false">EOMONTH(Overview!$C$8,E29-1)</f>
        <v>46568</v>
      </c>
      <c r="G29" s="12" t="s">
        <v>184</v>
      </c>
      <c r="H29" s="12" t="s">
        <v>227</v>
      </c>
      <c r="I29" s="12" t="s">
        <v>228</v>
      </c>
      <c r="J29" s="12" t="s">
        <v>192</v>
      </c>
      <c r="K29" s="27" t="s">
        <v>114</v>
      </c>
      <c r="L29" s="28"/>
      <c r="M29" s="12"/>
    </row>
    <row r="30" customFormat="false" ht="42.75" hidden="false" customHeight="true" outlineLevel="0" collapsed="false">
      <c r="A30" s="13" t="s">
        <v>229</v>
      </c>
      <c r="B30" s="27" t="s">
        <v>43</v>
      </c>
      <c r="C30" s="13" t="s">
        <v>230</v>
      </c>
      <c r="D30" s="16" t="n">
        <v>6</v>
      </c>
      <c r="E30" s="16" t="n">
        <v>6</v>
      </c>
      <c r="F30" s="14" t="n">
        <f aca="false">EOMONTH(Overview!$C$8,E30-1)</f>
        <v>46568</v>
      </c>
      <c r="G30" s="12" t="s">
        <v>231</v>
      </c>
      <c r="H30" s="12" t="s">
        <v>232</v>
      </c>
      <c r="I30" s="12" t="s">
        <v>233</v>
      </c>
      <c r="J30" s="12" t="s">
        <v>234</v>
      </c>
      <c r="K30" s="27" t="s">
        <v>114</v>
      </c>
      <c r="L30" s="28"/>
      <c r="M30" s="12"/>
    </row>
    <row r="31" customFormat="false" ht="30" hidden="false" customHeight="true" outlineLevel="0" collapsed="false">
      <c r="A31" s="13" t="s">
        <v>235</v>
      </c>
      <c r="B31" s="31" t="s">
        <v>54</v>
      </c>
      <c r="C31" s="13" t="s">
        <v>236</v>
      </c>
      <c r="D31" s="16" t="n">
        <v>6</v>
      </c>
      <c r="E31" s="16" t="n">
        <v>6</v>
      </c>
      <c r="F31" s="14" t="n">
        <f aca="false">EOMONTH(Overview!$C$8,E31-1)</f>
        <v>46568</v>
      </c>
      <c r="G31" s="12" t="s">
        <v>159</v>
      </c>
      <c r="H31" s="12" t="s">
        <v>237</v>
      </c>
      <c r="I31" s="12" t="s">
        <v>161</v>
      </c>
      <c r="J31" s="12"/>
      <c r="K31" s="27" t="s">
        <v>114</v>
      </c>
      <c r="L31" s="28"/>
      <c r="M31" s="12"/>
    </row>
    <row r="32" customFormat="false" ht="30" hidden="false" customHeight="true" outlineLevel="0" collapsed="false">
      <c r="A32" s="13" t="s">
        <v>238</v>
      </c>
      <c r="B32" s="30" t="s">
        <v>49</v>
      </c>
      <c r="C32" s="13" t="s">
        <v>239</v>
      </c>
      <c r="D32" s="16" t="n">
        <v>6</v>
      </c>
      <c r="E32" s="16" t="n">
        <v>6</v>
      </c>
      <c r="F32" s="14" t="n">
        <f aca="false">EOMONTH(Overview!$C$8,E32-1)</f>
        <v>46568</v>
      </c>
      <c r="G32" s="12" t="s">
        <v>164</v>
      </c>
      <c r="H32" s="12" t="s">
        <v>240</v>
      </c>
      <c r="I32" s="12" t="s">
        <v>166</v>
      </c>
      <c r="J32" s="12"/>
      <c r="K32" s="27" t="s">
        <v>114</v>
      </c>
      <c r="L32" s="28"/>
      <c r="M32" s="12"/>
    </row>
    <row r="33" customFormat="false" ht="30" hidden="false" customHeight="true" outlineLevel="0" collapsed="false">
      <c r="A33" s="13" t="s">
        <v>241</v>
      </c>
      <c r="B33" s="30" t="s">
        <v>49</v>
      </c>
      <c r="C33" s="13" t="s">
        <v>242</v>
      </c>
      <c r="D33" s="16" t="n">
        <v>7</v>
      </c>
      <c r="E33" s="16" t="n">
        <v>7</v>
      </c>
      <c r="F33" s="14" t="n">
        <f aca="false">EOMONTH(Overview!$C$8,E33-1)</f>
        <v>46599</v>
      </c>
      <c r="G33" s="12" t="s">
        <v>169</v>
      </c>
      <c r="H33" s="12" t="s">
        <v>243</v>
      </c>
      <c r="I33" s="12" t="s">
        <v>244</v>
      </c>
      <c r="J33" s="12"/>
      <c r="K33" s="27" t="s">
        <v>114</v>
      </c>
      <c r="L33" s="28"/>
      <c r="M33" s="12"/>
    </row>
    <row r="34" customFormat="false" ht="30" hidden="false" customHeight="true" outlineLevel="0" collapsed="false">
      <c r="A34" s="13" t="s">
        <v>245</v>
      </c>
      <c r="B34" s="30" t="s">
        <v>49</v>
      </c>
      <c r="C34" s="13" t="s">
        <v>246</v>
      </c>
      <c r="D34" s="16" t="n">
        <v>7</v>
      </c>
      <c r="E34" s="16" t="n">
        <v>8</v>
      </c>
      <c r="F34" s="14" t="n">
        <f aca="false">EOMONTH(Overview!$C$8,E34-1)</f>
        <v>46630</v>
      </c>
      <c r="G34" s="12" t="s">
        <v>247</v>
      </c>
      <c r="H34" s="12" t="s">
        <v>248</v>
      </c>
      <c r="I34" s="12" t="s">
        <v>249</v>
      </c>
      <c r="J34" s="12"/>
      <c r="K34" s="27" t="s">
        <v>114</v>
      </c>
      <c r="L34" s="28"/>
      <c r="M34" s="12"/>
    </row>
    <row r="35" customFormat="false" ht="42.75" hidden="false" customHeight="true" outlineLevel="0" collapsed="false">
      <c r="A35" s="13" t="s">
        <v>250</v>
      </c>
      <c r="B35" s="27" t="s">
        <v>43</v>
      </c>
      <c r="C35" s="13" t="s">
        <v>251</v>
      </c>
      <c r="D35" s="16" t="n">
        <v>7</v>
      </c>
      <c r="E35" s="16" t="n">
        <v>8</v>
      </c>
      <c r="F35" s="14" t="n">
        <f aca="false">EOMONTH(Overview!$C$8,E35-1)</f>
        <v>46630</v>
      </c>
      <c r="G35" s="12" t="s">
        <v>252</v>
      </c>
      <c r="H35" s="12" t="s">
        <v>253</v>
      </c>
      <c r="I35" s="12" t="s">
        <v>254</v>
      </c>
      <c r="J35" s="12"/>
      <c r="K35" s="27" t="s">
        <v>114</v>
      </c>
      <c r="L35" s="28"/>
      <c r="M35" s="12"/>
    </row>
    <row r="36" customFormat="false" ht="30" hidden="false" customHeight="true" outlineLevel="0" collapsed="false">
      <c r="A36" s="13" t="s">
        <v>255</v>
      </c>
      <c r="B36" s="27" t="s">
        <v>43</v>
      </c>
      <c r="C36" s="13" t="s">
        <v>256</v>
      </c>
      <c r="D36" s="16" t="n">
        <v>8</v>
      </c>
      <c r="E36" s="16" t="n">
        <v>8</v>
      </c>
      <c r="F36" s="14" t="n">
        <f aca="false">EOMONTH(Overview!$C$8,E36-1)</f>
        <v>46630</v>
      </c>
      <c r="G36" s="12" t="s">
        <v>50</v>
      </c>
      <c r="H36" s="12" t="s">
        <v>257</v>
      </c>
      <c r="I36" s="12" t="s">
        <v>258</v>
      </c>
      <c r="J36" s="12"/>
      <c r="K36" s="27" t="s">
        <v>114</v>
      </c>
      <c r="L36" s="28"/>
      <c r="M36" s="12"/>
    </row>
    <row r="37" customFormat="false" ht="30" hidden="false" customHeight="true" outlineLevel="0" collapsed="false">
      <c r="A37" s="13" t="s">
        <v>259</v>
      </c>
      <c r="B37" s="32" t="s">
        <v>46</v>
      </c>
      <c r="C37" s="13" t="s">
        <v>260</v>
      </c>
      <c r="D37" s="16" t="n">
        <v>8</v>
      </c>
      <c r="E37" s="16" t="n">
        <v>8</v>
      </c>
      <c r="F37" s="14" t="n">
        <f aca="false">EOMONTH(Overview!$C$8,E37-1)</f>
        <v>46630</v>
      </c>
      <c r="G37" s="12" t="s">
        <v>261</v>
      </c>
      <c r="H37" s="12" t="s">
        <v>262</v>
      </c>
      <c r="I37" s="12" t="s">
        <v>263</v>
      </c>
      <c r="J37" s="12"/>
      <c r="K37" s="27" t="s">
        <v>114</v>
      </c>
      <c r="L37" s="28"/>
      <c r="M37" s="12"/>
    </row>
    <row r="38" customFormat="false" ht="30" hidden="false" customHeight="true" outlineLevel="0" collapsed="false">
      <c r="A38" s="13" t="s">
        <v>264</v>
      </c>
      <c r="B38" s="34" t="s">
        <v>57</v>
      </c>
      <c r="C38" s="13" t="s">
        <v>265</v>
      </c>
      <c r="D38" s="16" t="n">
        <v>8</v>
      </c>
      <c r="E38" s="16" t="n">
        <v>8</v>
      </c>
      <c r="F38" s="14" t="n">
        <f aca="false">EOMONTH(Overview!$C$8,E38-1)</f>
        <v>46630</v>
      </c>
      <c r="G38" s="12" t="s">
        <v>266</v>
      </c>
      <c r="H38" s="12" t="s">
        <v>267</v>
      </c>
      <c r="I38" s="12" t="s">
        <v>268</v>
      </c>
      <c r="J38" s="12"/>
      <c r="K38" s="27" t="s">
        <v>114</v>
      </c>
      <c r="L38" s="28"/>
      <c r="M38" s="12"/>
    </row>
    <row r="39" customFormat="false" ht="30" hidden="false" customHeight="true" outlineLevel="0" collapsed="false">
      <c r="A39" s="13" t="s">
        <v>269</v>
      </c>
      <c r="B39" s="27" t="s">
        <v>43</v>
      </c>
      <c r="C39" s="13" t="s">
        <v>270</v>
      </c>
      <c r="D39" s="16" t="n">
        <v>9</v>
      </c>
      <c r="E39" s="16" t="n">
        <v>9</v>
      </c>
      <c r="F39" s="14" t="n">
        <f aca="false">EOMONTH(Overview!$C$8,E39-1)</f>
        <v>46660</v>
      </c>
      <c r="G39" s="12" t="s">
        <v>189</v>
      </c>
      <c r="H39" s="12" t="s">
        <v>271</v>
      </c>
      <c r="I39" s="12" t="s">
        <v>272</v>
      </c>
      <c r="J39" s="12"/>
      <c r="K39" s="27" t="s">
        <v>114</v>
      </c>
      <c r="L39" s="28"/>
      <c r="M39" s="12"/>
    </row>
    <row r="40" customFormat="false" ht="42.75" hidden="false" customHeight="true" outlineLevel="0" collapsed="false">
      <c r="A40" s="13" t="s">
        <v>273</v>
      </c>
      <c r="B40" s="32" t="s">
        <v>46</v>
      </c>
      <c r="C40" s="13" t="s">
        <v>274</v>
      </c>
      <c r="D40" s="16" t="n">
        <v>9</v>
      </c>
      <c r="E40" s="16" t="n">
        <v>9</v>
      </c>
      <c r="F40" s="14" t="n">
        <f aca="false">EOMONTH(Overview!$C$8,E40-1)</f>
        <v>46660</v>
      </c>
      <c r="G40" s="12" t="s">
        <v>275</v>
      </c>
      <c r="H40" s="12" t="s">
        <v>276</v>
      </c>
      <c r="I40" s="12" t="s">
        <v>277</v>
      </c>
      <c r="J40" s="12"/>
      <c r="K40" s="27" t="s">
        <v>114</v>
      </c>
      <c r="L40" s="28"/>
      <c r="M40" s="12"/>
    </row>
    <row r="41" customFormat="false" ht="30" hidden="false" customHeight="true" outlineLevel="0" collapsed="false">
      <c r="A41" s="13" t="s">
        <v>278</v>
      </c>
      <c r="B41" s="31" t="s">
        <v>54</v>
      </c>
      <c r="C41" s="13" t="s">
        <v>279</v>
      </c>
      <c r="D41" s="16" t="n">
        <v>9</v>
      </c>
      <c r="E41" s="16" t="n">
        <v>9</v>
      </c>
      <c r="F41" s="14" t="n">
        <f aca="false">EOMONTH(Overview!$C$8,E41-1)</f>
        <v>46660</v>
      </c>
      <c r="G41" s="12" t="s">
        <v>280</v>
      </c>
      <c r="H41" s="12" t="s">
        <v>281</v>
      </c>
      <c r="I41" s="12" t="s">
        <v>282</v>
      </c>
      <c r="J41" s="12" t="s">
        <v>283</v>
      </c>
      <c r="K41" s="27" t="s">
        <v>114</v>
      </c>
      <c r="L41" s="28"/>
      <c r="M41" s="12"/>
    </row>
    <row r="42" customFormat="false" ht="30" hidden="false" customHeight="true" outlineLevel="0" collapsed="false">
      <c r="A42" s="13" t="s">
        <v>284</v>
      </c>
      <c r="B42" s="31" t="s">
        <v>54</v>
      </c>
      <c r="C42" s="13" t="s">
        <v>285</v>
      </c>
      <c r="D42" s="16" t="n">
        <v>9</v>
      </c>
      <c r="E42" s="16" t="n">
        <v>9</v>
      </c>
      <c r="F42" s="14" t="n">
        <f aca="false">EOMONTH(Overview!$C$8,E42-1)</f>
        <v>46660</v>
      </c>
      <c r="G42" s="12" t="s">
        <v>159</v>
      </c>
      <c r="H42" s="12" t="s">
        <v>160</v>
      </c>
      <c r="I42" s="12" t="s">
        <v>161</v>
      </c>
      <c r="J42" s="12"/>
      <c r="K42" s="27" t="s">
        <v>114</v>
      </c>
      <c r="L42" s="28"/>
      <c r="M42" s="12"/>
    </row>
    <row r="43" customFormat="false" ht="30" hidden="false" customHeight="true" outlineLevel="0" collapsed="false">
      <c r="A43" s="13" t="s">
        <v>286</v>
      </c>
      <c r="B43" s="30" t="s">
        <v>49</v>
      </c>
      <c r="C43" s="13" t="s">
        <v>287</v>
      </c>
      <c r="D43" s="16" t="n">
        <v>9</v>
      </c>
      <c r="E43" s="16" t="n">
        <v>9</v>
      </c>
      <c r="F43" s="14" t="n">
        <f aca="false">EOMONTH(Overview!$C$8,E43-1)</f>
        <v>46660</v>
      </c>
      <c r="G43" s="12" t="s">
        <v>164</v>
      </c>
      <c r="H43" s="12" t="s">
        <v>288</v>
      </c>
      <c r="I43" s="12" t="s">
        <v>166</v>
      </c>
      <c r="J43" s="12"/>
      <c r="K43" s="27" t="s">
        <v>114</v>
      </c>
      <c r="L43" s="28"/>
      <c r="M43" s="12"/>
    </row>
    <row r="44" customFormat="false" ht="16.5" hidden="false" customHeight="true" outlineLevel="0" collapsed="false">
      <c r="A44" s="13" t="s">
        <v>289</v>
      </c>
      <c r="B44" s="27" t="s">
        <v>43</v>
      </c>
      <c r="C44" s="13" t="s">
        <v>290</v>
      </c>
      <c r="D44" s="16" t="n">
        <v>10</v>
      </c>
      <c r="E44" s="16" t="n">
        <v>10</v>
      </c>
      <c r="F44" s="14" t="n">
        <f aca="false">EOMONTH(Overview!$C$8,E44-1)</f>
        <v>46691</v>
      </c>
      <c r="G44" s="12" t="s">
        <v>50</v>
      </c>
      <c r="H44" s="12" t="s">
        <v>291</v>
      </c>
      <c r="I44" s="12" t="s">
        <v>258</v>
      </c>
      <c r="J44" s="12"/>
      <c r="K44" s="27" t="s">
        <v>114</v>
      </c>
      <c r="L44" s="28"/>
      <c r="M44" s="12"/>
    </row>
    <row r="45" customFormat="false" ht="30" hidden="false" customHeight="true" outlineLevel="0" collapsed="false">
      <c r="A45" s="13" t="s">
        <v>292</v>
      </c>
      <c r="B45" s="27" t="s">
        <v>43</v>
      </c>
      <c r="C45" s="13" t="s">
        <v>293</v>
      </c>
      <c r="D45" s="16" t="n">
        <v>10</v>
      </c>
      <c r="E45" s="16" t="n">
        <v>10</v>
      </c>
      <c r="F45" s="14" t="n">
        <f aca="false">EOMONTH(Overview!$C$8,E45-1)</f>
        <v>46691</v>
      </c>
      <c r="G45" s="12" t="s">
        <v>82</v>
      </c>
      <c r="H45" s="12" t="s">
        <v>294</v>
      </c>
      <c r="I45" s="12" t="s">
        <v>295</v>
      </c>
      <c r="J45" s="12"/>
      <c r="K45" s="27" t="s">
        <v>114</v>
      </c>
      <c r="L45" s="28"/>
      <c r="M45" s="12"/>
    </row>
    <row r="46" customFormat="false" ht="30" hidden="false" customHeight="true" outlineLevel="0" collapsed="false">
      <c r="A46" s="13" t="s">
        <v>296</v>
      </c>
      <c r="B46" s="30" t="s">
        <v>49</v>
      </c>
      <c r="C46" s="13" t="s">
        <v>297</v>
      </c>
      <c r="D46" s="16" t="n">
        <v>7</v>
      </c>
      <c r="E46" s="16" t="n">
        <v>11</v>
      </c>
      <c r="F46" s="14" t="n">
        <f aca="false">EOMONTH(Overview!$C$8,E46-1)</f>
        <v>46721</v>
      </c>
      <c r="G46" s="12" t="s">
        <v>50</v>
      </c>
      <c r="H46" s="12" t="s">
        <v>298</v>
      </c>
      <c r="I46" s="12" t="s">
        <v>299</v>
      </c>
      <c r="J46" s="12"/>
      <c r="K46" s="27" t="s">
        <v>114</v>
      </c>
      <c r="L46" s="28"/>
      <c r="M46" s="12"/>
    </row>
    <row r="47" customFormat="false" ht="30" hidden="false" customHeight="true" outlineLevel="0" collapsed="false">
      <c r="A47" s="13" t="s">
        <v>300</v>
      </c>
      <c r="B47" s="27" t="s">
        <v>43</v>
      </c>
      <c r="C47" s="13" t="s">
        <v>301</v>
      </c>
      <c r="D47" s="16" t="n">
        <v>9</v>
      </c>
      <c r="E47" s="16" t="n">
        <v>11</v>
      </c>
      <c r="F47" s="14" t="n">
        <f aca="false">EOMONTH(Overview!$C$8,E47-1)</f>
        <v>46721</v>
      </c>
      <c r="G47" s="12" t="s">
        <v>44</v>
      </c>
      <c r="H47" s="12" t="s">
        <v>302</v>
      </c>
      <c r="I47" s="12" t="s">
        <v>303</v>
      </c>
      <c r="J47" s="12"/>
      <c r="K47" s="27" t="s">
        <v>114</v>
      </c>
      <c r="L47" s="28"/>
      <c r="M47" s="12"/>
    </row>
    <row r="48" customFormat="false" ht="30" hidden="false" customHeight="true" outlineLevel="0" collapsed="false">
      <c r="A48" s="13" t="s">
        <v>304</v>
      </c>
      <c r="B48" s="30" t="s">
        <v>49</v>
      </c>
      <c r="C48" s="13" t="s">
        <v>305</v>
      </c>
      <c r="D48" s="16" t="n">
        <v>10</v>
      </c>
      <c r="E48" s="16" t="n">
        <v>11</v>
      </c>
      <c r="F48" s="14" t="n">
        <f aca="false">EOMONTH(Overview!$C$8,E48-1)</f>
        <v>46721</v>
      </c>
      <c r="G48" s="12" t="s">
        <v>266</v>
      </c>
      <c r="H48" s="12" t="s">
        <v>306</v>
      </c>
      <c r="I48" s="12" t="s">
        <v>307</v>
      </c>
      <c r="J48" s="12"/>
      <c r="K48" s="27" t="s">
        <v>114</v>
      </c>
      <c r="L48" s="28"/>
      <c r="M48" s="12"/>
    </row>
    <row r="49" customFormat="false" ht="30" hidden="false" customHeight="true" outlineLevel="0" collapsed="false">
      <c r="A49" s="13" t="s">
        <v>308</v>
      </c>
      <c r="B49" s="34" t="s">
        <v>57</v>
      </c>
      <c r="C49" s="13" t="s">
        <v>309</v>
      </c>
      <c r="D49" s="16" t="n">
        <v>10</v>
      </c>
      <c r="E49" s="16" t="n">
        <v>11</v>
      </c>
      <c r="F49" s="14" t="n">
        <f aca="false">EOMONTH(Overview!$C$8,E49-1)</f>
        <v>46721</v>
      </c>
      <c r="G49" s="12" t="s">
        <v>50</v>
      </c>
      <c r="H49" s="12" t="s">
        <v>310</v>
      </c>
      <c r="I49" s="12" t="s">
        <v>311</v>
      </c>
      <c r="J49" s="12" t="s">
        <v>283</v>
      </c>
      <c r="K49" s="27" t="s">
        <v>114</v>
      </c>
      <c r="L49" s="28"/>
      <c r="M49" s="12"/>
    </row>
    <row r="50" customFormat="false" ht="30" hidden="false" customHeight="true" outlineLevel="0" collapsed="false">
      <c r="A50" s="13" t="s">
        <v>312</v>
      </c>
      <c r="B50" s="30" t="s">
        <v>49</v>
      </c>
      <c r="C50" s="13" t="s">
        <v>313</v>
      </c>
      <c r="D50" s="16" t="n">
        <v>2</v>
      </c>
      <c r="E50" s="16" t="n">
        <v>12</v>
      </c>
      <c r="F50" s="14" t="n">
        <f aca="false">EOMONTH(Overview!$C$8,E50-1)</f>
        <v>46752</v>
      </c>
      <c r="G50" s="12" t="s">
        <v>50</v>
      </c>
      <c r="H50" s="12" t="s">
        <v>314</v>
      </c>
      <c r="I50" s="12" t="s">
        <v>315</v>
      </c>
      <c r="J50" s="12"/>
      <c r="K50" s="27" t="s">
        <v>114</v>
      </c>
      <c r="L50" s="28"/>
      <c r="M50" s="12"/>
    </row>
    <row r="51" customFormat="false" ht="42.75" hidden="false" customHeight="true" outlineLevel="0" collapsed="false">
      <c r="A51" s="13" t="s">
        <v>316</v>
      </c>
      <c r="B51" s="35" t="s">
        <v>52</v>
      </c>
      <c r="C51" s="13" t="s">
        <v>317</v>
      </c>
      <c r="D51" s="16" t="n">
        <v>7</v>
      </c>
      <c r="E51" s="16" t="n">
        <v>12</v>
      </c>
      <c r="F51" s="14" t="n">
        <f aca="false">EOMONTH(Overview!$C$8,E51-1)</f>
        <v>46752</v>
      </c>
      <c r="G51" s="12" t="s">
        <v>318</v>
      </c>
      <c r="H51" s="12" t="s">
        <v>319</v>
      </c>
      <c r="I51" s="12" t="s">
        <v>320</v>
      </c>
      <c r="J51" s="12" t="s">
        <v>283</v>
      </c>
      <c r="K51" s="27" t="s">
        <v>114</v>
      </c>
      <c r="L51" s="28"/>
      <c r="M51" s="12"/>
    </row>
    <row r="52" customFormat="false" ht="30" hidden="false" customHeight="true" outlineLevel="0" collapsed="false">
      <c r="A52" s="13" t="s">
        <v>321</v>
      </c>
      <c r="B52" s="27" t="s">
        <v>43</v>
      </c>
      <c r="C52" s="13" t="s">
        <v>322</v>
      </c>
      <c r="D52" s="16" t="n">
        <v>8</v>
      </c>
      <c r="E52" s="16" t="n">
        <v>12</v>
      </c>
      <c r="F52" s="14" t="n">
        <f aca="false">EOMONTH(Overview!$C$8,E52-1)</f>
        <v>46752</v>
      </c>
      <c r="G52" s="12" t="s">
        <v>149</v>
      </c>
      <c r="H52" s="12" t="s">
        <v>323</v>
      </c>
      <c r="I52" s="12" t="s">
        <v>324</v>
      </c>
      <c r="J52" s="12"/>
      <c r="K52" s="27" t="s">
        <v>114</v>
      </c>
      <c r="L52" s="28"/>
      <c r="M52" s="12"/>
    </row>
    <row r="53" customFormat="false" ht="30" hidden="false" customHeight="true" outlineLevel="0" collapsed="false">
      <c r="A53" s="13" t="s">
        <v>325</v>
      </c>
      <c r="B53" s="32" t="s">
        <v>46</v>
      </c>
      <c r="C53" s="13" t="s">
        <v>326</v>
      </c>
      <c r="D53" s="16" t="n">
        <v>11</v>
      </c>
      <c r="E53" s="16" t="n">
        <v>12</v>
      </c>
      <c r="F53" s="14" t="n">
        <f aca="false">EOMONTH(Overview!$C$8,E53-1)</f>
        <v>46752</v>
      </c>
      <c r="G53" s="12" t="s">
        <v>41</v>
      </c>
      <c r="H53" s="12" t="s">
        <v>327</v>
      </c>
      <c r="I53" s="12" t="s">
        <v>328</v>
      </c>
      <c r="J53" s="12"/>
      <c r="K53" s="27" t="s">
        <v>114</v>
      </c>
      <c r="L53" s="28"/>
      <c r="M53" s="12"/>
    </row>
    <row r="54" customFormat="false" ht="30" hidden="false" customHeight="true" outlineLevel="0" collapsed="false">
      <c r="A54" s="13" t="s">
        <v>329</v>
      </c>
      <c r="B54" s="35" t="s">
        <v>52</v>
      </c>
      <c r="C54" s="13" t="s">
        <v>330</v>
      </c>
      <c r="D54" s="16" t="n">
        <v>12</v>
      </c>
      <c r="E54" s="16" t="n">
        <v>12</v>
      </c>
      <c r="F54" s="14" t="n">
        <f aca="false">EOMONTH(Overview!$C$8,E54-1)</f>
        <v>46752</v>
      </c>
      <c r="G54" s="12" t="s">
        <v>331</v>
      </c>
      <c r="H54" s="12" t="s">
        <v>332</v>
      </c>
      <c r="I54" s="12" t="s">
        <v>333</v>
      </c>
      <c r="J54" s="12"/>
      <c r="K54" s="27" t="s">
        <v>114</v>
      </c>
      <c r="L54" s="28"/>
      <c r="M54" s="12"/>
    </row>
    <row r="55" customFormat="false" ht="30" hidden="false" customHeight="true" outlineLevel="0" collapsed="false">
      <c r="A55" s="13" t="s">
        <v>334</v>
      </c>
      <c r="B55" s="30" t="s">
        <v>49</v>
      </c>
      <c r="C55" s="13" t="s">
        <v>335</v>
      </c>
      <c r="D55" s="16" t="n">
        <v>12</v>
      </c>
      <c r="E55" s="16" t="n">
        <v>12</v>
      </c>
      <c r="F55" s="14" t="n">
        <f aca="false">EOMONTH(Overview!$C$8,E55-1)</f>
        <v>46752</v>
      </c>
      <c r="G55" s="12" t="s">
        <v>336</v>
      </c>
      <c r="H55" s="12" t="s">
        <v>337</v>
      </c>
      <c r="I55" s="12" t="s">
        <v>338</v>
      </c>
      <c r="J55" s="12"/>
      <c r="K55" s="27" t="s">
        <v>114</v>
      </c>
      <c r="L55" s="28"/>
      <c r="M55" s="12"/>
    </row>
    <row r="56" customFormat="false" ht="30" hidden="false" customHeight="true" outlineLevel="0" collapsed="false">
      <c r="A56" s="13" t="s">
        <v>339</v>
      </c>
      <c r="B56" s="27" t="s">
        <v>43</v>
      </c>
      <c r="C56" s="13" t="s">
        <v>340</v>
      </c>
      <c r="D56" s="16" t="n">
        <v>12</v>
      </c>
      <c r="E56" s="16" t="n">
        <v>12</v>
      </c>
      <c r="F56" s="14" t="n">
        <f aca="false">EOMONTH(Overview!$C$8,E56-1)</f>
        <v>46752</v>
      </c>
      <c r="G56" s="12" t="s">
        <v>149</v>
      </c>
      <c r="H56" s="12" t="s">
        <v>341</v>
      </c>
      <c r="I56" s="12" t="s">
        <v>342</v>
      </c>
      <c r="J56" s="12"/>
      <c r="K56" s="27" t="s">
        <v>114</v>
      </c>
      <c r="L56" s="28"/>
      <c r="M56" s="12"/>
    </row>
    <row r="57" customFormat="false" ht="30" hidden="false" customHeight="true" outlineLevel="0" collapsed="false">
      <c r="A57" s="13" t="s">
        <v>343</v>
      </c>
      <c r="B57" s="32" t="s">
        <v>46</v>
      </c>
      <c r="C57" s="13" t="s">
        <v>344</v>
      </c>
      <c r="D57" s="16" t="n">
        <v>12</v>
      </c>
      <c r="E57" s="16" t="n">
        <v>12</v>
      </c>
      <c r="F57" s="14" t="n">
        <f aca="false">EOMONTH(Overview!$C$8,E57-1)</f>
        <v>46752</v>
      </c>
      <c r="G57" s="12" t="s">
        <v>122</v>
      </c>
      <c r="H57" s="12" t="s">
        <v>345</v>
      </c>
      <c r="I57" s="12" t="s">
        <v>303</v>
      </c>
      <c r="J57" s="12"/>
      <c r="K57" s="27" t="s">
        <v>114</v>
      </c>
      <c r="L57" s="28"/>
      <c r="M57" s="12"/>
    </row>
    <row r="58" customFormat="false" ht="30" hidden="false" customHeight="true" outlineLevel="0" collapsed="false">
      <c r="A58" s="13" t="s">
        <v>346</v>
      </c>
      <c r="B58" s="31" t="s">
        <v>54</v>
      </c>
      <c r="C58" s="13" t="s">
        <v>347</v>
      </c>
      <c r="D58" s="16" t="n">
        <v>12</v>
      </c>
      <c r="E58" s="16" t="n">
        <v>12</v>
      </c>
      <c r="F58" s="14" t="n">
        <f aca="false">EOMONTH(Overview!$C$8,E58-1)</f>
        <v>46752</v>
      </c>
      <c r="G58" s="12" t="s">
        <v>348</v>
      </c>
      <c r="H58" s="12" t="s">
        <v>349</v>
      </c>
      <c r="I58" s="12" t="s">
        <v>350</v>
      </c>
      <c r="J58" s="12"/>
      <c r="K58" s="27" t="s">
        <v>114</v>
      </c>
      <c r="L58" s="28"/>
      <c r="M58" s="12"/>
    </row>
    <row r="59" customFormat="false" ht="16.5" hidden="false" customHeight="true" outlineLevel="0" collapsed="false">
      <c r="A59" s="13" t="s">
        <v>351</v>
      </c>
      <c r="B59" s="30" t="s">
        <v>49</v>
      </c>
      <c r="C59" s="13" t="s">
        <v>352</v>
      </c>
      <c r="D59" s="16" t="n">
        <v>12</v>
      </c>
      <c r="E59" s="16" t="n">
        <v>12</v>
      </c>
      <c r="F59" s="14" t="n">
        <f aca="false">EOMONTH(Overview!$C$8,E59-1)</f>
        <v>46752</v>
      </c>
      <c r="G59" s="12" t="s">
        <v>149</v>
      </c>
      <c r="H59" s="12" t="s">
        <v>353</v>
      </c>
      <c r="I59" s="12" t="s">
        <v>354</v>
      </c>
      <c r="J59" s="12"/>
      <c r="K59" s="27" t="s">
        <v>114</v>
      </c>
      <c r="L59" s="28"/>
      <c r="M59" s="12"/>
    </row>
    <row r="60" customFormat="false" ht="30" hidden="false" customHeight="true" outlineLevel="0" collapsed="false">
      <c r="A60" s="13" t="s">
        <v>355</v>
      </c>
      <c r="B60" s="31" t="s">
        <v>54</v>
      </c>
      <c r="C60" s="13" t="s">
        <v>356</v>
      </c>
      <c r="D60" s="16" t="n">
        <v>12</v>
      </c>
      <c r="E60" s="16" t="n">
        <v>12</v>
      </c>
      <c r="F60" s="14" t="n">
        <f aca="false">EOMONTH(Overview!$C$8,E60-1)</f>
        <v>46752</v>
      </c>
      <c r="G60" s="12" t="s">
        <v>159</v>
      </c>
      <c r="H60" s="12" t="s">
        <v>357</v>
      </c>
      <c r="I60" s="12" t="s">
        <v>161</v>
      </c>
      <c r="J60" s="12"/>
      <c r="K60" s="27" t="s">
        <v>114</v>
      </c>
      <c r="L60" s="28"/>
      <c r="M60" s="12"/>
    </row>
    <row r="61" customFormat="false" ht="30" hidden="false" customHeight="true" outlineLevel="0" collapsed="false">
      <c r="A61" s="13" t="s">
        <v>358</v>
      </c>
      <c r="B61" s="30" t="s">
        <v>49</v>
      </c>
      <c r="C61" s="13" t="s">
        <v>359</v>
      </c>
      <c r="D61" s="16" t="n">
        <v>12</v>
      </c>
      <c r="E61" s="16" t="n">
        <v>12</v>
      </c>
      <c r="F61" s="14" t="n">
        <f aca="false">EOMONTH(Overview!$C$8,E61-1)</f>
        <v>46752</v>
      </c>
      <c r="G61" s="12" t="s">
        <v>164</v>
      </c>
      <c r="H61" s="12" t="s">
        <v>360</v>
      </c>
      <c r="I61" s="12" t="s">
        <v>166</v>
      </c>
      <c r="J61" s="12"/>
      <c r="K61" s="27" t="s">
        <v>114</v>
      </c>
      <c r="L61" s="28"/>
      <c r="M61" s="12"/>
    </row>
    <row r="63" customFormat="false" ht="15" hidden="false" customHeight="false" outlineLevel="0" collapsed="false">
      <c r="C63" s="3" t="s">
        <v>361</v>
      </c>
      <c r="D63" s="3" t="str">
        <f aca="false">COUNTIF(K5:K61,"Done")&amp;" of "&amp;COUNTA(A5:A61)&amp;" done"</f>
        <v>0 of 57 done</v>
      </c>
    </row>
  </sheetData>
  <autoFilter ref="A4:M61"/>
  <mergeCells count="1">
    <mergeCell ref="A2:M2"/>
  </mergeCells>
  <conditionalFormatting sqref="K5:K61">
    <cfRule type="cellIs" priority="2" operator="equal" aboveAverage="0" equalAverage="0" bottom="0" percent="0" rank="0" text="" dxfId="10">
      <formula>"Done"</formula>
    </cfRule>
    <cfRule type="cellIs" priority="3" operator="equal" aboveAverage="0" equalAverage="0" bottom="0" percent="0" rank="0" text="" dxfId="11">
      <formula>"Blocked"</formula>
    </cfRule>
  </conditionalFormatting>
  <dataValidations count="1">
    <dataValidation allowBlank="true" errorStyle="stop" operator="between" showDropDown="false" showErrorMessage="false" showInputMessage="false" sqref="K5:K61" type="list">
      <formula1>"Not started,In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9"/>
    <col collapsed="false" customWidth="true" hidden="false" outlineLevel="0" max="4" min="4" style="0" width="74"/>
    <col collapsed="false" customWidth="true" hidden="false" outlineLevel="0" max="5" min="5" style="0" width="28"/>
    <col collapsed="false" customWidth="true" hidden="false" outlineLevel="0" max="6" min="6" style="0" width="16"/>
  </cols>
  <sheetData>
    <row r="1" customFormat="false" ht="24" hidden="false" customHeight="true" outlineLevel="0" collapsed="false">
      <c r="A1" s="1" t="s">
        <v>362</v>
      </c>
    </row>
    <row r="2" customFormat="false" ht="30" hidden="false" customHeight="true" outlineLevel="0" collapsed="false">
      <c r="A2" s="2" t="s">
        <v>363</v>
      </c>
      <c r="B2" s="2"/>
      <c r="C2" s="2"/>
      <c r="D2" s="2"/>
      <c r="E2" s="2"/>
      <c r="F2" s="2"/>
    </row>
    <row r="4" customFormat="false" ht="15" hidden="false" customHeight="false" outlineLevel="0" collapsed="false">
      <c r="A4" s="11" t="s">
        <v>364</v>
      </c>
      <c r="B4" s="11" t="s">
        <v>365</v>
      </c>
      <c r="C4" s="11" t="s">
        <v>366</v>
      </c>
      <c r="D4" s="11" t="s">
        <v>367</v>
      </c>
      <c r="E4" s="11" t="s">
        <v>4</v>
      </c>
      <c r="F4" s="11" t="s">
        <v>368</v>
      </c>
    </row>
    <row r="5" customFormat="false" ht="30" hidden="false" customHeight="true" outlineLevel="0" collapsed="false">
      <c r="A5" s="13" t="s">
        <v>369</v>
      </c>
      <c r="B5" s="12" t="str">
        <f aca="false">TEXT(EDATE(Overview!$C$8,1-1),"mmm yyyy")</f>
        <v>Jan 2027</v>
      </c>
      <c r="C5" s="12" t="s">
        <v>370</v>
      </c>
      <c r="D5" s="12" t="s">
        <v>371</v>
      </c>
      <c r="E5" s="12" t="s">
        <v>372</v>
      </c>
      <c r="F5" s="13"/>
    </row>
    <row r="6" customFormat="false" ht="30" hidden="false" customHeight="true" outlineLevel="0" collapsed="false">
      <c r="A6" s="13" t="s">
        <v>369</v>
      </c>
      <c r="B6" s="12" t="str">
        <f aca="false">TEXT(EDATE(Overview!$C$8,1-1),"mmm yyyy")</f>
        <v>Jan 2027</v>
      </c>
      <c r="C6" s="12" t="s">
        <v>370</v>
      </c>
      <c r="D6" s="12" t="s">
        <v>373</v>
      </c>
      <c r="E6" s="12" t="s">
        <v>44</v>
      </c>
      <c r="F6" s="13" t="s">
        <v>110</v>
      </c>
    </row>
    <row r="7" customFormat="false" ht="16.5" hidden="false" customHeight="true" outlineLevel="0" collapsed="false">
      <c r="A7" s="13" t="s">
        <v>369</v>
      </c>
      <c r="B7" s="12" t="str">
        <f aca="false">TEXT(EDATE(Overview!$C$8,1-1),"mmm yyyy")</f>
        <v>Jan 2027</v>
      </c>
      <c r="C7" s="12" t="s">
        <v>374</v>
      </c>
      <c r="D7" s="12" t="s">
        <v>375</v>
      </c>
      <c r="E7" s="12" t="s">
        <v>117</v>
      </c>
      <c r="F7" s="13" t="s">
        <v>115</v>
      </c>
    </row>
    <row r="8" customFormat="false" ht="30" hidden="false" customHeight="true" outlineLevel="0" collapsed="false">
      <c r="A8" s="13" t="s">
        <v>369</v>
      </c>
      <c r="B8" s="12" t="str">
        <f aca="false">TEXT(EDATE(Overview!$C$8,1-1),"mmm yyyy")</f>
        <v>Jan 2027</v>
      </c>
      <c r="C8" s="12" t="s">
        <v>374</v>
      </c>
      <c r="D8" s="12" t="s">
        <v>376</v>
      </c>
      <c r="E8" s="12" t="s">
        <v>131</v>
      </c>
      <c r="F8" s="13" t="s">
        <v>129</v>
      </c>
    </row>
    <row r="9" customFormat="false" ht="30" hidden="false" customHeight="true" outlineLevel="0" collapsed="false">
      <c r="A9" s="13" t="s">
        <v>369</v>
      </c>
      <c r="B9" s="12" t="str">
        <f aca="false">TEXT(EDATE(Overview!$C$8,1-1),"mmm yyyy")</f>
        <v>Jan 2027</v>
      </c>
      <c r="C9" s="12" t="s">
        <v>377</v>
      </c>
      <c r="D9" s="12" t="s">
        <v>378</v>
      </c>
      <c r="E9" s="12" t="s">
        <v>379</v>
      </c>
      <c r="F9" s="13" t="s">
        <v>380</v>
      </c>
    </row>
    <row r="10" customFormat="false" ht="30" hidden="false" customHeight="true" outlineLevel="0" collapsed="false">
      <c r="A10" s="13" t="s">
        <v>369</v>
      </c>
      <c r="B10" s="12" t="str">
        <f aca="false">TEXT(EDATE(Overview!$C$8,1-1),"mmm yyyy")</f>
        <v>Jan 2027</v>
      </c>
      <c r="C10" s="12" t="s">
        <v>381</v>
      </c>
      <c r="D10" s="12" t="s">
        <v>382</v>
      </c>
      <c r="E10" s="12" t="s">
        <v>122</v>
      </c>
      <c r="F10" s="13" t="s">
        <v>125</v>
      </c>
    </row>
    <row r="11" customFormat="false" ht="16.5" hidden="false" customHeight="true" outlineLevel="0" collapsed="false">
      <c r="A11" s="13" t="s">
        <v>369</v>
      </c>
      <c r="B11" s="12" t="str">
        <f aca="false">TEXT(EDATE(Overview!$C$8,1-1),"mmm yyyy")</f>
        <v>Jan 2027</v>
      </c>
      <c r="C11" s="12" t="s">
        <v>383</v>
      </c>
      <c r="D11" s="12" t="s">
        <v>384</v>
      </c>
      <c r="E11" s="12" t="s">
        <v>122</v>
      </c>
      <c r="F11" s="13" t="s">
        <v>120</v>
      </c>
    </row>
    <row r="12" customFormat="false" ht="16.5" hidden="false" customHeight="true" outlineLevel="0" collapsed="false">
      <c r="A12" s="17" t="s">
        <v>385</v>
      </c>
      <c r="B12" s="26" t="str">
        <f aca="false">TEXT(EDATE(Overview!$C$8,2-1),"mmm yyyy")</f>
        <v>Feb 2027</v>
      </c>
      <c r="C12" s="26" t="s">
        <v>370</v>
      </c>
      <c r="D12" s="26" t="s">
        <v>386</v>
      </c>
      <c r="E12" s="26" t="s">
        <v>50</v>
      </c>
      <c r="F12" s="17" t="s">
        <v>312</v>
      </c>
    </row>
    <row r="13" customFormat="false" ht="30" hidden="false" customHeight="true" outlineLevel="0" collapsed="false">
      <c r="A13" s="17" t="s">
        <v>385</v>
      </c>
      <c r="B13" s="26" t="str">
        <f aca="false">TEXT(EDATE(Overview!$C$8,2-1),"mmm yyyy")</f>
        <v>Feb 2027</v>
      </c>
      <c r="C13" s="26" t="s">
        <v>387</v>
      </c>
      <c r="D13" s="26" t="s">
        <v>388</v>
      </c>
      <c r="E13" s="26" t="s">
        <v>389</v>
      </c>
      <c r="F13" s="17" t="s">
        <v>380</v>
      </c>
    </row>
    <row r="14" customFormat="false" ht="16.5" hidden="false" customHeight="true" outlineLevel="0" collapsed="false">
      <c r="A14" s="17" t="s">
        <v>385</v>
      </c>
      <c r="B14" s="26" t="str">
        <f aca="false">TEXT(EDATE(Overview!$C$8,2-1),"mmm yyyy")</f>
        <v>Feb 2027</v>
      </c>
      <c r="C14" s="26" t="s">
        <v>374</v>
      </c>
      <c r="D14" s="26" t="s">
        <v>390</v>
      </c>
      <c r="E14" s="26" t="s">
        <v>149</v>
      </c>
      <c r="F14" s="17" t="s">
        <v>147</v>
      </c>
    </row>
    <row r="15" customFormat="false" ht="30" hidden="false" customHeight="true" outlineLevel="0" collapsed="false">
      <c r="A15" s="17" t="s">
        <v>385</v>
      </c>
      <c r="B15" s="26" t="str">
        <f aca="false">TEXT(EDATE(Overview!$C$8,2-1),"mmm yyyy")</f>
        <v>Feb 2027</v>
      </c>
      <c r="C15" s="26" t="s">
        <v>377</v>
      </c>
      <c r="D15" s="26" t="s">
        <v>391</v>
      </c>
      <c r="E15" s="26" t="s">
        <v>392</v>
      </c>
      <c r="F15" s="17" t="s">
        <v>129</v>
      </c>
    </row>
    <row r="16" customFormat="false" ht="30" hidden="false" customHeight="true" outlineLevel="0" collapsed="false">
      <c r="A16" s="17" t="s">
        <v>385</v>
      </c>
      <c r="B16" s="26" t="str">
        <f aca="false">TEXT(EDATE(Overview!$C$8,2-1),"mmm yyyy")</f>
        <v>Feb 2027</v>
      </c>
      <c r="C16" s="26" t="s">
        <v>383</v>
      </c>
      <c r="D16" s="26" t="s">
        <v>393</v>
      </c>
      <c r="E16" s="26" t="s">
        <v>394</v>
      </c>
      <c r="F16" s="17" t="s">
        <v>129</v>
      </c>
    </row>
    <row r="17" customFormat="false" ht="30" hidden="false" customHeight="true" outlineLevel="0" collapsed="false">
      <c r="A17" s="13" t="s">
        <v>395</v>
      </c>
      <c r="B17" s="12" t="str">
        <f aca="false">TEXT(EDATE(Overview!$C$8,3-1),"mmm yyyy")</f>
        <v>Mar 2027</v>
      </c>
      <c r="C17" s="12" t="s">
        <v>387</v>
      </c>
      <c r="D17" s="12" t="s">
        <v>396</v>
      </c>
      <c r="E17" s="12" t="s">
        <v>154</v>
      </c>
      <c r="F17" s="13" t="s">
        <v>397</v>
      </c>
    </row>
    <row r="18" customFormat="false" ht="30" hidden="false" customHeight="true" outlineLevel="0" collapsed="false">
      <c r="A18" s="13" t="s">
        <v>395</v>
      </c>
      <c r="B18" s="12" t="str">
        <f aca="false">TEXT(EDATE(Overview!$C$8,3-1),"mmm yyyy")</f>
        <v>Mar 2027</v>
      </c>
      <c r="C18" s="12" t="s">
        <v>398</v>
      </c>
      <c r="D18" s="12" t="s">
        <v>399</v>
      </c>
      <c r="E18" s="12" t="s">
        <v>50</v>
      </c>
      <c r="F18" s="13" t="s">
        <v>167</v>
      </c>
    </row>
    <row r="19" customFormat="false" ht="30" hidden="false" customHeight="true" outlineLevel="0" collapsed="false">
      <c r="A19" s="13" t="s">
        <v>395</v>
      </c>
      <c r="B19" s="12" t="str">
        <f aca="false">TEXT(EDATE(Overview!$C$8,3-1),"mmm yyyy")</f>
        <v>Mar 2027</v>
      </c>
      <c r="C19" s="12" t="s">
        <v>377</v>
      </c>
      <c r="D19" s="12" t="s">
        <v>400</v>
      </c>
      <c r="E19" s="12" t="s">
        <v>401</v>
      </c>
      <c r="F19" s="13" t="s">
        <v>402</v>
      </c>
    </row>
    <row r="20" customFormat="false" ht="16.5" hidden="false" customHeight="true" outlineLevel="0" collapsed="false">
      <c r="A20" s="13" t="s">
        <v>395</v>
      </c>
      <c r="B20" s="12" t="str">
        <f aca="false">TEXT(EDATE(Overview!$C$8,3-1),"mmm yyyy")</f>
        <v>Mar 2027</v>
      </c>
      <c r="C20" s="12" t="s">
        <v>383</v>
      </c>
      <c r="D20" s="12" t="s">
        <v>403</v>
      </c>
      <c r="E20" s="12" t="s">
        <v>348</v>
      </c>
      <c r="F20" s="13" t="s">
        <v>404</v>
      </c>
    </row>
    <row r="21" customFormat="false" ht="16.5" hidden="false" customHeight="true" outlineLevel="0" collapsed="false">
      <c r="A21" s="17" t="s">
        <v>405</v>
      </c>
      <c r="B21" s="26" t="str">
        <f aca="false">TEXT(EDATE(Overview!$C$8,4-1),"mmm yyyy")</f>
        <v>Apr 2027</v>
      </c>
      <c r="C21" s="26" t="s">
        <v>387</v>
      </c>
      <c r="D21" s="26" t="s">
        <v>406</v>
      </c>
      <c r="E21" s="26" t="s">
        <v>252</v>
      </c>
      <c r="F21" s="17" t="s">
        <v>172</v>
      </c>
    </row>
    <row r="22" customFormat="false" ht="16.5" hidden="false" customHeight="true" outlineLevel="0" collapsed="false">
      <c r="A22" s="17" t="s">
        <v>405</v>
      </c>
      <c r="B22" s="26" t="str">
        <f aca="false">TEXT(EDATE(Overview!$C$8,4-1),"mmm yyyy")</f>
        <v>Apr 2027</v>
      </c>
      <c r="C22" s="26" t="s">
        <v>374</v>
      </c>
      <c r="D22" s="26" t="s">
        <v>407</v>
      </c>
      <c r="E22" s="26" t="s">
        <v>50</v>
      </c>
      <c r="F22" s="17" t="s">
        <v>167</v>
      </c>
    </row>
    <row r="23" customFormat="false" ht="30" hidden="false" customHeight="true" outlineLevel="0" collapsed="false">
      <c r="A23" s="17" t="s">
        <v>405</v>
      </c>
      <c r="B23" s="26" t="str">
        <f aca="false">TEXT(EDATE(Overview!$C$8,4-1),"mmm yyyy")</f>
        <v>Apr 2027</v>
      </c>
      <c r="C23" s="26" t="s">
        <v>377</v>
      </c>
      <c r="D23" s="26" t="s">
        <v>408</v>
      </c>
      <c r="E23" s="26" t="s">
        <v>409</v>
      </c>
      <c r="F23" s="17" t="s">
        <v>172</v>
      </c>
    </row>
    <row r="24" customFormat="false" ht="30" hidden="false" customHeight="true" outlineLevel="0" collapsed="false">
      <c r="A24" s="17" t="s">
        <v>405</v>
      </c>
      <c r="B24" s="26" t="str">
        <f aca="false">TEXT(EDATE(Overview!$C$8,4-1),"mmm yyyy")</f>
        <v>Apr 2027</v>
      </c>
      <c r="C24" s="26" t="s">
        <v>381</v>
      </c>
      <c r="D24" s="26" t="s">
        <v>410</v>
      </c>
      <c r="E24" s="26" t="s">
        <v>179</v>
      </c>
      <c r="F24" s="17" t="s">
        <v>411</v>
      </c>
    </row>
    <row r="25" customFormat="false" ht="16.5" hidden="false" customHeight="true" outlineLevel="0" collapsed="false">
      <c r="A25" s="17" t="s">
        <v>405</v>
      </c>
      <c r="B25" s="26" t="str">
        <f aca="false">TEXT(EDATE(Overview!$C$8,4-1),"mmm yyyy")</f>
        <v>Apr 2027</v>
      </c>
      <c r="C25" s="26" t="s">
        <v>383</v>
      </c>
      <c r="D25" s="26" t="s">
        <v>412</v>
      </c>
      <c r="E25" s="26" t="s">
        <v>149</v>
      </c>
      <c r="F25" s="17" t="s">
        <v>187</v>
      </c>
    </row>
    <row r="26" customFormat="false" ht="16.5" hidden="false" customHeight="true" outlineLevel="0" collapsed="false">
      <c r="A26" s="13" t="s">
        <v>413</v>
      </c>
      <c r="B26" s="12" t="str">
        <f aca="false">TEXT(EDATE(Overview!$C$8,5-1),"mmm yyyy")</f>
        <v>May 2027</v>
      </c>
      <c r="C26" s="12" t="s">
        <v>370</v>
      </c>
      <c r="D26" s="12" t="s">
        <v>414</v>
      </c>
      <c r="E26" s="12" t="s">
        <v>154</v>
      </c>
      <c r="F26" s="13" t="s">
        <v>197</v>
      </c>
    </row>
    <row r="27" customFormat="false" ht="16.5" hidden="false" customHeight="true" outlineLevel="0" collapsed="false">
      <c r="A27" s="13" t="s">
        <v>413</v>
      </c>
      <c r="B27" s="12" t="str">
        <f aca="false">TEXT(EDATE(Overview!$C$8,5-1),"mmm yyyy")</f>
        <v>May 2027</v>
      </c>
      <c r="C27" s="12" t="s">
        <v>374</v>
      </c>
      <c r="D27" s="12" t="s">
        <v>415</v>
      </c>
      <c r="E27" s="12" t="s">
        <v>149</v>
      </c>
      <c r="F27" s="13" t="s">
        <v>187</v>
      </c>
    </row>
    <row r="28" customFormat="false" ht="16.5" hidden="false" customHeight="true" outlineLevel="0" collapsed="false">
      <c r="A28" s="13" t="s">
        <v>413</v>
      </c>
      <c r="B28" s="12" t="str">
        <f aca="false">TEXT(EDATE(Overview!$C$8,5-1),"mmm yyyy")</f>
        <v>May 2027</v>
      </c>
      <c r="C28" s="12" t="s">
        <v>398</v>
      </c>
      <c r="D28" s="12" t="s">
        <v>416</v>
      </c>
      <c r="E28" s="12" t="s">
        <v>154</v>
      </c>
      <c r="F28" s="13" t="s">
        <v>197</v>
      </c>
    </row>
    <row r="29" customFormat="false" ht="30" hidden="false" customHeight="true" outlineLevel="0" collapsed="false">
      <c r="A29" s="13" t="s">
        <v>413</v>
      </c>
      <c r="B29" s="12" t="str">
        <f aca="false">TEXT(EDATE(Overview!$C$8,5-1),"mmm yyyy")</f>
        <v>May 2027</v>
      </c>
      <c r="C29" s="12" t="s">
        <v>377</v>
      </c>
      <c r="D29" s="12" t="s">
        <v>417</v>
      </c>
      <c r="E29" s="12" t="s">
        <v>50</v>
      </c>
      <c r="F29" s="13" t="s">
        <v>193</v>
      </c>
    </row>
    <row r="30" customFormat="false" ht="30" hidden="false" customHeight="true" outlineLevel="0" collapsed="false">
      <c r="A30" s="13" t="s">
        <v>413</v>
      </c>
      <c r="B30" s="12" t="str">
        <f aca="false">TEXT(EDATE(Overview!$C$8,5-1),"mmm yyyy")</f>
        <v>May 2027</v>
      </c>
      <c r="C30" s="12" t="s">
        <v>383</v>
      </c>
      <c r="D30" s="12" t="s">
        <v>418</v>
      </c>
      <c r="E30" s="12" t="s">
        <v>419</v>
      </c>
      <c r="F30" s="13" t="s">
        <v>420</v>
      </c>
    </row>
    <row r="31" customFormat="false" ht="30" hidden="false" customHeight="true" outlineLevel="0" collapsed="false">
      <c r="A31" s="17" t="s">
        <v>421</v>
      </c>
      <c r="B31" s="26" t="str">
        <f aca="false">TEXT(EDATE(Overview!$C$8,6-1),"mmm yyyy")</f>
        <v>Jun 2027</v>
      </c>
      <c r="C31" s="26" t="s">
        <v>370</v>
      </c>
      <c r="D31" s="26" t="s">
        <v>422</v>
      </c>
      <c r="E31" s="26" t="s">
        <v>423</v>
      </c>
      <c r="F31" s="17" t="s">
        <v>424</v>
      </c>
    </row>
    <row r="32" customFormat="false" ht="16.5" hidden="false" customHeight="true" outlineLevel="0" collapsed="false">
      <c r="A32" s="17" t="s">
        <v>421</v>
      </c>
      <c r="B32" s="26" t="str">
        <f aca="false">TEXT(EDATE(Overview!$C$8,6-1),"mmm yyyy")</f>
        <v>Jun 2027</v>
      </c>
      <c r="C32" s="26" t="s">
        <v>387</v>
      </c>
      <c r="D32" s="26" t="s">
        <v>425</v>
      </c>
      <c r="E32" s="26" t="s">
        <v>82</v>
      </c>
      <c r="F32" s="17" t="s">
        <v>216</v>
      </c>
    </row>
    <row r="33" customFormat="false" ht="30" hidden="false" customHeight="true" outlineLevel="0" collapsed="false">
      <c r="A33" s="17" t="s">
        <v>421</v>
      </c>
      <c r="B33" s="26" t="str">
        <f aca="false">TEXT(EDATE(Overview!$C$8,6-1),"mmm yyyy")</f>
        <v>Jun 2027</v>
      </c>
      <c r="C33" s="26" t="s">
        <v>398</v>
      </c>
      <c r="D33" s="26" t="s">
        <v>426</v>
      </c>
      <c r="E33" s="26" t="s">
        <v>222</v>
      </c>
      <c r="F33" s="17" t="s">
        <v>427</v>
      </c>
    </row>
    <row r="34" customFormat="false" ht="30" hidden="false" customHeight="true" outlineLevel="0" collapsed="false">
      <c r="A34" s="17" t="s">
        <v>421</v>
      </c>
      <c r="B34" s="26" t="str">
        <f aca="false">TEXT(EDATE(Overview!$C$8,6-1),"mmm yyyy")</f>
        <v>Jun 2027</v>
      </c>
      <c r="C34" s="26" t="s">
        <v>377</v>
      </c>
      <c r="D34" s="26" t="s">
        <v>428</v>
      </c>
      <c r="E34" s="26" t="s">
        <v>231</v>
      </c>
      <c r="F34" s="17" t="s">
        <v>229</v>
      </c>
    </row>
    <row r="35" customFormat="false" ht="30" hidden="false" customHeight="true" outlineLevel="0" collapsed="false">
      <c r="A35" s="17" t="s">
        <v>421</v>
      </c>
      <c r="B35" s="26" t="str">
        <f aca="false">TEXT(EDATE(Overview!$C$8,6-1),"mmm yyyy")</f>
        <v>Jun 2027</v>
      </c>
      <c r="C35" s="26" t="s">
        <v>383</v>
      </c>
      <c r="D35" s="26" t="s">
        <v>429</v>
      </c>
      <c r="E35" s="26" t="s">
        <v>348</v>
      </c>
      <c r="F35" s="17" t="s">
        <v>430</v>
      </c>
    </row>
    <row r="36" customFormat="false" ht="30" hidden="false" customHeight="true" outlineLevel="0" collapsed="false">
      <c r="A36" s="13" t="s">
        <v>431</v>
      </c>
      <c r="B36" s="12" t="str">
        <f aca="false">TEXT(EDATE(Overview!$C$8,7-1),"mmm yyyy")</f>
        <v>Jul 2027</v>
      </c>
      <c r="C36" s="12" t="s">
        <v>370</v>
      </c>
      <c r="D36" s="12" t="s">
        <v>432</v>
      </c>
      <c r="E36" s="12" t="s">
        <v>169</v>
      </c>
      <c r="F36" s="13" t="s">
        <v>241</v>
      </c>
    </row>
    <row r="37" customFormat="false" ht="16.5" hidden="false" customHeight="true" outlineLevel="0" collapsed="false">
      <c r="A37" s="13" t="s">
        <v>431</v>
      </c>
      <c r="B37" s="12" t="str">
        <f aca="false">TEXT(EDATE(Overview!$C$8,7-1),"mmm yyyy")</f>
        <v>Jul 2027</v>
      </c>
      <c r="C37" s="12" t="s">
        <v>387</v>
      </c>
      <c r="D37" s="12" t="s">
        <v>433</v>
      </c>
      <c r="E37" s="12" t="s">
        <v>247</v>
      </c>
      <c r="F37" s="13" t="s">
        <v>245</v>
      </c>
    </row>
    <row r="38" customFormat="false" ht="30" hidden="false" customHeight="true" outlineLevel="0" collapsed="false">
      <c r="A38" s="13" t="s">
        <v>431</v>
      </c>
      <c r="B38" s="12" t="str">
        <f aca="false">TEXT(EDATE(Overview!$C$8,7-1),"mmm yyyy")</f>
        <v>Jul 2027</v>
      </c>
      <c r="C38" s="12" t="s">
        <v>434</v>
      </c>
      <c r="D38" s="12" t="s">
        <v>435</v>
      </c>
      <c r="E38" s="12" t="s">
        <v>213</v>
      </c>
      <c r="F38" s="13" t="s">
        <v>436</v>
      </c>
    </row>
    <row r="39" customFormat="false" ht="42.75" hidden="false" customHeight="true" outlineLevel="0" collapsed="false">
      <c r="A39" s="13" t="s">
        <v>431</v>
      </c>
      <c r="B39" s="12" t="str">
        <f aca="false">TEXT(EDATE(Overview!$C$8,7-1),"mmm yyyy")</f>
        <v>Jul 2027</v>
      </c>
      <c r="C39" s="12" t="s">
        <v>437</v>
      </c>
      <c r="D39" s="12" t="s">
        <v>438</v>
      </c>
      <c r="E39" s="12" t="s">
        <v>439</v>
      </c>
      <c r="F39" s="13" t="s">
        <v>440</v>
      </c>
    </row>
    <row r="40" customFormat="false" ht="16.5" hidden="false" customHeight="true" outlineLevel="0" collapsed="false">
      <c r="A40" s="17" t="s">
        <v>441</v>
      </c>
      <c r="B40" s="26" t="str">
        <f aca="false">TEXT(EDATE(Overview!$C$8,8-1),"mmm yyyy")</f>
        <v>Aug 2027</v>
      </c>
      <c r="C40" s="26" t="s">
        <v>370</v>
      </c>
      <c r="D40" s="26" t="s">
        <v>442</v>
      </c>
      <c r="E40" s="26" t="s">
        <v>149</v>
      </c>
      <c r="F40" s="17" t="s">
        <v>321</v>
      </c>
    </row>
    <row r="41" customFormat="false" ht="30" hidden="false" customHeight="true" outlineLevel="0" collapsed="false">
      <c r="A41" s="17" t="s">
        <v>441</v>
      </c>
      <c r="B41" s="26" t="str">
        <f aca="false">TEXT(EDATE(Overview!$C$8,8-1),"mmm yyyy")</f>
        <v>Aug 2027</v>
      </c>
      <c r="C41" s="26" t="s">
        <v>387</v>
      </c>
      <c r="D41" s="26" t="s">
        <v>443</v>
      </c>
      <c r="E41" s="26" t="s">
        <v>444</v>
      </c>
      <c r="F41" s="17" t="s">
        <v>445</v>
      </c>
    </row>
    <row r="42" customFormat="false" ht="30" hidden="false" customHeight="true" outlineLevel="0" collapsed="false">
      <c r="A42" s="17" t="s">
        <v>441</v>
      </c>
      <c r="B42" s="26" t="str">
        <f aca="false">TEXT(EDATE(Overview!$C$8,8-1),"mmm yyyy")</f>
        <v>Aug 2027</v>
      </c>
      <c r="C42" s="26" t="s">
        <v>374</v>
      </c>
      <c r="D42" s="26" t="s">
        <v>446</v>
      </c>
      <c r="E42" s="26" t="s">
        <v>261</v>
      </c>
      <c r="F42" s="17" t="s">
        <v>259</v>
      </c>
    </row>
    <row r="43" customFormat="false" ht="16.5" hidden="false" customHeight="true" outlineLevel="0" collapsed="false">
      <c r="A43" s="17" t="s">
        <v>441</v>
      </c>
      <c r="B43" s="26" t="str">
        <f aca="false">TEXT(EDATE(Overview!$C$8,8-1),"mmm yyyy")</f>
        <v>Aug 2027</v>
      </c>
      <c r="C43" s="26" t="s">
        <v>381</v>
      </c>
      <c r="D43" s="26" t="s">
        <v>447</v>
      </c>
      <c r="E43" s="26" t="s">
        <v>266</v>
      </c>
      <c r="F43" s="17" t="s">
        <v>264</v>
      </c>
    </row>
    <row r="44" customFormat="false" ht="30" hidden="false" customHeight="true" outlineLevel="0" collapsed="false">
      <c r="A44" s="13" t="s">
        <v>448</v>
      </c>
      <c r="B44" s="12" t="str">
        <f aca="false">TEXT(EDATE(Overview!$C$8,9-1),"mmm yyyy")</f>
        <v>Sep 2027</v>
      </c>
      <c r="C44" s="12" t="s">
        <v>370</v>
      </c>
      <c r="D44" s="12" t="s">
        <v>449</v>
      </c>
      <c r="E44" s="12" t="s">
        <v>189</v>
      </c>
      <c r="F44" s="13" t="s">
        <v>269</v>
      </c>
    </row>
    <row r="45" customFormat="false" ht="30" hidden="false" customHeight="true" outlineLevel="0" collapsed="false">
      <c r="A45" s="13" t="s">
        <v>448</v>
      </c>
      <c r="B45" s="12" t="str">
        <f aca="false">TEXT(EDATE(Overview!$C$8,9-1),"mmm yyyy")</f>
        <v>Sep 2027</v>
      </c>
      <c r="C45" s="12" t="s">
        <v>374</v>
      </c>
      <c r="D45" s="12" t="s">
        <v>450</v>
      </c>
      <c r="E45" s="12" t="s">
        <v>275</v>
      </c>
      <c r="F45" s="13" t="s">
        <v>273</v>
      </c>
    </row>
    <row r="46" customFormat="false" ht="16.5" hidden="false" customHeight="true" outlineLevel="0" collapsed="false">
      <c r="A46" s="13" t="s">
        <v>448</v>
      </c>
      <c r="B46" s="12" t="str">
        <f aca="false">TEXT(EDATE(Overview!$C$8,9-1),"mmm yyyy")</f>
        <v>Sep 2027</v>
      </c>
      <c r="C46" s="12" t="s">
        <v>451</v>
      </c>
      <c r="D46" s="12" t="s">
        <v>452</v>
      </c>
      <c r="E46" s="12" t="s">
        <v>453</v>
      </c>
      <c r="F46" s="13" t="s">
        <v>278</v>
      </c>
    </row>
    <row r="47" customFormat="false" ht="16.5" hidden="false" customHeight="true" outlineLevel="0" collapsed="false">
      <c r="A47" s="13" t="s">
        <v>448</v>
      </c>
      <c r="B47" s="12" t="str">
        <f aca="false">TEXT(EDATE(Overview!$C$8,9-1),"mmm yyyy")</f>
        <v>Sep 2027</v>
      </c>
      <c r="C47" s="12" t="s">
        <v>383</v>
      </c>
      <c r="D47" s="12" t="s">
        <v>454</v>
      </c>
      <c r="E47" s="12" t="s">
        <v>348</v>
      </c>
      <c r="F47" s="13" t="s">
        <v>455</v>
      </c>
    </row>
    <row r="48" customFormat="false" ht="16.5" hidden="false" customHeight="true" outlineLevel="0" collapsed="false">
      <c r="A48" s="17" t="s">
        <v>456</v>
      </c>
      <c r="B48" s="26" t="str">
        <f aca="false">TEXT(EDATE(Overview!$C$8,10-1),"mmm yyyy")</f>
        <v>Oct 2027</v>
      </c>
      <c r="C48" s="26" t="s">
        <v>387</v>
      </c>
      <c r="D48" s="26" t="s">
        <v>457</v>
      </c>
      <c r="E48" s="26" t="s">
        <v>184</v>
      </c>
      <c r="F48" s="17" t="s">
        <v>458</v>
      </c>
    </row>
    <row r="49" customFormat="false" ht="30" hidden="false" customHeight="true" outlineLevel="0" collapsed="false">
      <c r="A49" s="17" t="s">
        <v>456</v>
      </c>
      <c r="B49" s="26" t="str">
        <f aca="false">TEXT(EDATE(Overview!$C$8,10-1),"mmm yyyy")</f>
        <v>Oct 2027</v>
      </c>
      <c r="C49" s="26" t="s">
        <v>381</v>
      </c>
      <c r="D49" s="26" t="s">
        <v>459</v>
      </c>
      <c r="E49" s="26" t="s">
        <v>266</v>
      </c>
      <c r="F49" s="17" t="s">
        <v>304</v>
      </c>
    </row>
    <row r="50" customFormat="false" ht="30" hidden="false" customHeight="true" outlineLevel="0" collapsed="false">
      <c r="A50" s="17" t="s">
        <v>456</v>
      </c>
      <c r="B50" s="26" t="str">
        <f aca="false">TEXT(EDATE(Overview!$C$8,10-1),"mmm yyyy")</f>
        <v>Oct 2027</v>
      </c>
      <c r="C50" s="26" t="s">
        <v>381</v>
      </c>
      <c r="D50" s="26" t="s">
        <v>460</v>
      </c>
      <c r="E50" s="26" t="s">
        <v>409</v>
      </c>
      <c r="F50" s="17" t="s">
        <v>461</v>
      </c>
    </row>
    <row r="51" customFormat="false" ht="16.5" hidden="false" customHeight="true" outlineLevel="0" collapsed="false">
      <c r="A51" s="13" t="s">
        <v>462</v>
      </c>
      <c r="B51" s="12" t="str">
        <f aca="false">TEXT(EDATE(Overview!$C$8,11-1),"mmm yyyy")</f>
        <v>Nov 2027</v>
      </c>
      <c r="C51" s="12" t="s">
        <v>387</v>
      </c>
      <c r="D51" s="12" t="s">
        <v>463</v>
      </c>
      <c r="E51" s="12" t="s">
        <v>44</v>
      </c>
      <c r="F51" s="13" t="s">
        <v>300</v>
      </c>
    </row>
    <row r="52" customFormat="false" ht="16.5" hidden="false" customHeight="true" outlineLevel="0" collapsed="false">
      <c r="A52" s="13" t="s">
        <v>462</v>
      </c>
      <c r="B52" s="12" t="str">
        <f aca="false">TEXT(EDATE(Overview!$C$8,11-1),"mmm yyyy")</f>
        <v>Nov 2027</v>
      </c>
      <c r="C52" s="12" t="s">
        <v>434</v>
      </c>
      <c r="D52" s="12" t="s">
        <v>464</v>
      </c>
      <c r="E52" s="12" t="s">
        <v>41</v>
      </c>
      <c r="F52" s="13" t="s">
        <v>325</v>
      </c>
    </row>
    <row r="53" customFormat="false" ht="30" hidden="false" customHeight="true" outlineLevel="0" collapsed="false">
      <c r="A53" s="13" t="s">
        <v>462</v>
      </c>
      <c r="B53" s="12" t="str">
        <f aca="false">TEXT(EDATE(Overview!$C$8,11-1),"mmm yyyy")</f>
        <v>Nov 2027</v>
      </c>
      <c r="C53" s="12" t="s">
        <v>381</v>
      </c>
      <c r="D53" s="12" t="s">
        <v>465</v>
      </c>
      <c r="E53" s="12" t="s">
        <v>392</v>
      </c>
      <c r="F53" s="13" t="s">
        <v>466</v>
      </c>
    </row>
    <row r="54" customFormat="false" ht="30" hidden="false" customHeight="true" outlineLevel="0" collapsed="false">
      <c r="A54" s="17" t="s">
        <v>467</v>
      </c>
      <c r="B54" s="26" t="str">
        <f aca="false">TEXT(EDATE(Overview!$C$8,12-1),"mmm yyyy")</f>
        <v>Dec 2027</v>
      </c>
      <c r="C54" s="26" t="s">
        <v>387</v>
      </c>
      <c r="D54" s="26" t="s">
        <v>468</v>
      </c>
      <c r="E54" s="26" t="s">
        <v>331</v>
      </c>
      <c r="F54" s="17" t="s">
        <v>469</v>
      </c>
    </row>
    <row r="55" customFormat="false" ht="16.5" hidden="false" customHeight="true" outlineLevel="0" collapsed="false">
      <c r="A55" s="17" t="s">
        <v>467</v>
      </c>
      <c r="B55" s="26" t="str">
        <f aca="false">TEXT(EDATE(Overview!$C$8,12-1),"mmm yyyy")</f>
        <v>Dec 2027</v>
      </c>
      <c r="C55" s="26" t="s">
        <v>374</v>
      </c>
      <c r="D55" s="26" t="s">
        <v>470</v>
      </c>
      <c r="E55" s="26" t="s">
        <v>336</v>
      </c>
      <c r="F55" s="17" t="s">
        <v>334</v>
      </c>
    </row>
    <row r="56" customFormat="false" ht="30" hidden="false" customHeight="true" outlineLevel="0" collapsed="false">
      <c r="A56" s="17" t="s">
        <v>467</v>
      </c>
      <c r="B56" s="26" t="str">
        <f aca="false">TEXT(EDATE(Overview!$C$8,12-1),"mmm yyyy")</f>
        <v>Dec 2027</v>
      </c>
      <c r="C56" s="26" t="s">
        <v>377</v>
      </c>
      <c r="D56" s="26" t="s">
        <v>471</v>
      </c>
      <c r="E56" s="26" t="s">
        <v>472</v>
      </c>
      <c r="F56" s="17" t="s">
        <v>473</v>
      </c>
    </row>
    <row r="57" customFormat="false" ht="30" hidden="false" customHeight="true" outlineLevel="0" collapsed="false">
      <c r="A57" s="17" t="s">
        <v>467</v>
      </c>
      <c r="B57" s="26" t="str">
        <f aca="false">TEXT(EDATE(Overview!$C$8,12-1),"mmm yyyy")</f>
        <v>Dec 2027</v>
      </c>
      <c r="C57" s="26" t="s">
        <v>383</v>
      </c>
      <c r="D57" s="26" t="s">
        <v>474</v>
      </c>
      <c r="E57" s="26" t="s">
        <v>348</v>
      </c>
      <c r="F57" s="17" t="s">
        <v>475</v>
      </c>
    </row>
  </sheetData>
  <mergeCells count="1">
    <mergeCell ref="A2:F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6"/>
    <col collapsed="false" customWidth="true" hidden="false" outlineLevel="0" max="4" min="3" style="0" width="7"/>
    <col collapsed="false" customWidth="true" hidden="false" outlineLevel="0" max="16" min="5" style="0" width="8"/>
  </cols>
  <sheetData>
    <row r="1" customFormat="false" ht="24" hidden="false" customHeight="true" outlineLevel="0" collapsed="false">
      <c r="A1" s="1" t="s">
        <v>476</v>
      </c>
    </row>
    <row r="2" customFormat="false" ht="30" hidden="false" customHeight="true" outlineLevel="0" collapsed="false">
      <c r="A2" s="2" t="s">
        <v>477</v>
      </c>
      <c r="B2" s="2"/>
      <c r="C2" s="2"/>
      <c r="D2" s="2"/>
      <c r="E2" s="2"/>
      <c r="F2" s="2"/>
      <c r="G2" s="2"/>
      <c r="H2" s="2"/>
      <c r="I2" s="2"/>
      <c r="J2" s="2"/>
      <c r="K2" s="2"/>
      <c r="L2" s="2"/>
      <c r="M2" s="2"/>
      <c r="N2" s="2"/>
      <c r="O2" s="2"/>
      <c r="P2" s="2"/>
    </row>
    <row r="3" customFormat="false" ht="15" hidden="false" customHeight="false" outlineLevel="0" collapsed="false">
      <c r="E3" s="36" t="n">
        <v>1</v>
      </c>
      <c r="F3" s="36" t="n">
        <v>2</v>
      </c>
      <c r="G3" s="36" t="n">
        <v>3</v>
      </c>
      <c r="H3" s="36" t="n">
        <v>4</v>
      </c>
      <c r="I3" s="36" t="n">
        <v>5</v>
      </c>
      <c r="J3" s="36" t="n">
        <v>6</v>
      </c>
      <c r="K3" s="36" t="n">
        <v>7</v>
      </c>
      <c r="L3" s="36" t="n">
        <v>8</v>
      </c>
      <c r="M3" s="36" t="n">
        <v>9</v>
      </c>
      <c r="N3" s="36" t="n">
        <v>10</v>
      </c>
      <c r="O3" s="36" t="n">
        <v>11</v>
      </c>
      <c r="P3" s="36" t="n">
        <v>12</v>
      </c>
    </row>
    <row r="4" customFormat="false" ht="15" hidden="false" customHeight="false" outlineLevel="0" collapsed="false">
      <c r="A4" s="11" t="s">
        <v>30</v>
      </c>
      <c r="B4" s="11" t="s">
        <v>101</v>
      </c>
      <c r="C4" s="11" t="s">
        <v>478</v>
      </c>
      <c r="D4" s="11" t="s">
        <v>479</v>
      </c>
      <c r="E4" s="11" t="s">
        <v>369</v>
      </c>
      <c r="F4" s="11" t="s">
        <v>385</v>
      </c>
      <c r="G4" s="11" t="s">
        <v>395</v>
      </c>
      <c r="H4" s="11" t="s">
        <v>405</v>
      </c>
      <c r="I4" s="11" t="s">
        <v>413</v>
      </c>
      <c r="J4" s="11" t="s">
        <v>421</v>
      </c>
      <c r="K4" s="11" t="s">
        <v>431</v>
      </c>
      <c r="L4" s="11" t="s">
        <v>441</v>
      </c>
      <c r="M4" s="11" t="s">
        <v>448</v>
      </c>
      <c r="N4" s="11" t="s">
        <v>456</v>
      </c>
      <c r="O4" s="11" t="s">
        <v>462</v>
      </c>
      <c r="P4" s="11" t="s">
        <v>467</v>
      </c>
    </row>
    <row r="5" customFormat="false" ht="15" hidden="false" customHeight="false" outlineLevel="0" collapsed="false">
      <c r="E5" s="37" t="str">
        <f aca="false">TEXT(EDATE(Overview!$C$8,1-1),"mmm")</f>
        <v>Jan</v>
      </c>
      <c r="F5" s="37" t="str">
        <f aca="false">TEXT(EDATE(Overview!$C$8,2-1),"mmm")</f>
        <v>Feb</v>
      </c>
      <c r="G5" s="37" t="str">
        <f aca="false">TEXT(EDATE(Overview!$C$8,3-1),"mmm")</f>
        <v>Mar</v>
      </c>
      <c r="H5" s="37" t="str">
        <f aca="false">TEXT(EDATE(Overview!$C$8,4-1),"mmm")</f>
        <v>Apr</v>
      </c>
      <c r="I5" s="37" t="str">
        <f aca="false">TEXT(EDATE(Overview!$C$8,5-1),"mmm")</f>
        <v>May</v>
      </c>
      <c r="J5" s="37" t="str">
        <f aca="false">TEXT(EDATE(Overview!$C$8,6-1),"mmm")</f>
        <v>Jun</v>
      </c>
      <c r="K5" s="37" t="str">
        <f aca="false">TEXT(EDATE(Overview!$C$8,7-1),"mmm")</f>
        <v>Jul</v>
      </c>
      <c r="L5" s="37" t="str">
        <f aca="false">TEXT(EDATE(Overview!$C$8,8-1),"mmm")</f>
        <v>Aug</v>
      </c>
      <c r="M5" s="37" t="str">
        <f aca="false">TEXT(EDATE(Overview!$C$8,9-1),"mmm")</f>
        <v>Sep</v>
      </c>
      <c r="N5" s="37" t="str">
        <f aca="false">TEXT(EDATE(Overview!$C$8,10-1),"mmm")</f>
        <v>Oct</v>
      </c>
      <c r="O5" s="37" t="str">
        <f aca="false">TEXT(EDATE(Overview!$C$8,11-1),"mmm")</f>
        <v>Nov</v>
      </c>
      <c r="P5" s="37" t="str">
        <f aca="false">TEXT(EDATE(Overview!$C$8,12-1),"mmm")</f>
        <v>Dec</v>
      </c>
    </row>
    <row r="6" customFormat="false" ht="15" hidden="false" customHeight="false" outlineLevel="0" collapsed="false">
      <c r="A6" s="15" t="s">
        <v>34</v>
      </c>
      <c r="B6" s="38" t="s">
        <v>480</v>
      </c>
      <c r="C6" s="39" t="n">
        <v>1</v>
      </c>
      <c r="D6" s="39" t="n">
        <v>1</v>
      </c>
      <c r="E6" s="40" t="n">
        <f aca="false">IF(AND(E$3&gt;=$C6,E$3&lt;=$D6),1,"")</f>
        <v>1</v>
      </c>
      <c r="F6" s="40" t="str">
        <f aca="false">IF(AND(F$3&gt;=$C6,F$3&lt;=$D6),1,"")</f>
        <v/>
      </c>
      <c r="G6" s="40" t="str">
        <f aca="false">IF(AND(G$3&gt;=$C6,G$3&lt;=$D6),1,"")</f>
        <v/>
      </c>
      <c r="H6" s="40" t="str">
        <f aca="false">IF(AND(H$3&gt;=$C6,H$3&lt;=$D6),1,"")</f>
        <v/>
      </c>
      <c r="I6" s="40" t="str">
        <f aca="false">IF(AND(I$3&gt;=$C6,I$3&lt;=$D6),1,"")</f>
        <v/>
      </c>
      <c r="J6" s="40" t="str">
        <f aca="false">IF(AND(J$3&gt;=$C6,J$3&lt;=$D6),1,"")</f>
        <v/>
      </c>
      <c r="K6" s="40" t="str">
        <f aca="false">IF(AND(K$3&gt;=$C6,K$3&lt;=$D6),1,"")</f>
        <v/>
      </c>
      <c r="L6" s="40" t="str">
        <f aca="false">IF(AND(L$3&gt;=$C6,L$3&lt;=$D6),1,"")</f>
        <v/>
      </c>
      <c r="M6" s="40" t="str">
        <f aca="false">IF(AND(M$3&gt;=$C6,M$3&lt;=$D6),1,"")</f>
        <v/>
      </c>
      <c r="N6" s="40" t="str">
        <f aca="false">IF(AND(N$3&gt;=$C6,N$3&lt;=$D6),1,"")</f>
        <v/>
      </c>
      <c r="O6" s="40" t="str">
        <f aca="false">IF(AND(O$3&gt;=$C6,O$3&lt;=$D6),1,"")</f>
        <v/>
      </c>
      <c r="P6" s="40" t="str">
        <f aca="false">IF(AND(P$3&gt;=$C6,P$3&lt;=$D6),1,"")</f>
        <v/>
      </c>
    </row>
    <row r="7" customFormat="false" ht="15" hidden="false" customHeight="false" outlineLevel="0" collapsed="false">
      <c r="A7" s="15"/>
      <c r="B7" s="38" t="s">
        <v>481</v>
      </c>
      <c r="C7" s="39" t="n">
        <v>1</v>
      </c>
      <c r="D7" s="39" t="n">
        <v>1</v>
      </c>
      <c r="E7" s="40" t="n">
        <f aca="false">IF(AND(E$3&gt;=$C7,E$3&lt;=$D7),1,"")</f>
        <v>1</v>
      </c>
      <c r="F7" s="40" t="str">
        <f aca="false">IF(AND(F$3&gt;=$C7,F$3&lt;=$D7),1,"")</f>
        <v/>
      </c>
      <c r="G7" s="40" t="str">
        <f aca="false">IF(AND(G$3&gt;=$C7,G$3&lt;=$D7),1,"")</f>
        <v/>
      </c>
      <c r="H7" s="40" t="str">
        <f aca="false">IF(AND(H$3&gt;=$C7,H$3&lt;=$D7),1,"")</f>
        <v/>
      </c>
      <c r="I7" s="40" t="str">
        <f aca="false">IF(AND(I$3&gt;=$C7,I$3&lt;=$D7),1,"")</f>
        <v/>
      </c>
      <c r="J7" s="40" t="str">
        <f aca="false">IF(AND(J$3&gt;=$C7,J$3&lt;=$D7),1,"")</f>
        <v/>
      </c>
      <c r="K7" s="40" t="str">
        <f aca="false">IF(AND(K$3&gt;=$C7,K$3&lt;=$D7),1,"")</f>
        <v/>
      </c>
      <c r="L7" s="40" t="str">
        <f aca="false">IF(AND(L$3&gt;=$C7,L$3&lt;=$D7),1,"")</f>
        <v/>
      </c>
      <c r="M7" s="40" t="str">
        <f aca="false">IF(AND(M$3&gt;=$C7,M$3&lt;=$D7),1,"")</f>
        <v/>
      </c>
      <c r="N7" s="40" t="str">
        <f aca="false">IF(AND(N$3&gt;=$C7,N$3&lt;=$D7),1,"")</f>
        <v/>
      </c>
      <c r="O7" s="40" t="str">
        <f aca="false">IF(AND(O$3&gt;=$C7,O$3&lt;=$D7),1,"")</f>
        <v/>
      </c>
      <c r="P7" s="40" t="str">
        <f aca="false">IF(AND(P$3&gt;=$C7,P$3&lt;=$D7),1,"")</f>
        <v/>
      </c>
    </row>
    <row r="8" customFormat="false" ht="15" hidden="false" customHeight="false" outlineLevel="0" collapsed="false">
      <c r="A8" s="15"/>
      <c r="B8" s="38" t="s">
        <v>482</v>
      </c>
      <c r="C8" s="39" t="n">
        <v>1</v>
      </c>
      <c r="D8" s="39" t="n">
        <v>2</v>
      </c>
      <c r="E8" s="40" t="n">
        <f aca="false">IF(AND(E$3&gt;=$C8,E$3&lt;=$D8),1,"")</f>
        <v>1</v>
      </c>
      <c r="F8" s="40" t="n">
        <f aca="false">IF(AND(F$3&gt;=$C8,F$3&lt;=$D8),1,"")</f>
        <v>1</v>
      </c>
      <c r="G8" s="40" t="str">
        <f aca="false">IF(AND(G$3&gt;=$C8,G$3&lt;=$D8),1,"")</f>
        <v/>
      </c>
      <c r="H8" s="40" t="str">
        <f aca="false">IF(AND(H$3&gt;=$C8,H$3&lt;=$D8),1,"")</f>
        <v/>
      </c>
      <c r="I8" s="40" t="str">
        <f aca="false">IF(AND(I$3&gt;=$C8,I$3&lt;=$D8),1,"")</f>
        <v/>
      </c>
      <c r="J8" s="40" t="str">
        <f aca="false">IF(AND(J$3&gt;=$C8,J$3&lt;=$D8),1,"")</f>
        <v/>
      </c>
      <c r="K8" s="40" t="str">
        <f aca="false">IF(AND(K$3&gt;=$C8,K$3&lt;=$D8),1,"")</f>
        <v/>
      </c>
      <c r="L8" s="40" t="str">
        <f aca="false">IF(AND(L$3&gt;=$C8,L$3&lt;=$D8),1,"")</f>
        <v/>
      </c>
      <c r="M8" s="40" t="str">
        <f aca="false">IF(AND(M$3&gt;=$C8,M$3&lt;=$D8),1,"")</f>
        <v/>
      </c>
      <c r="N8" s="40" t="str">
        <f aca="false">IF(AND(N$3&gt;=$C8,N$3&lt;=$D8),1,"")</f>
        <v/>
      </c>
      <c r="O8" s="40" t="str">
        <f aca="false">IF(AND(O$3&gt;=$C8,O$3&lt;=$D8),1,"")</f>
        <v/>
      </c>
      <c r="P8" s="40" t="str">
        <f aca="false">IF(AND(P$3&gt;=$C8,P$3&lt;=$D8),1,"")</f>
        <v/>
      </c>
    </row>
    <row r="9" customFormat="false" ht="15" hidden="false" customHeight="false" outlineLevel="0" collapsed="false">
      <c r="A9" s="17" t="s">
        <v>37</v>
      </c>
      <c r="B9" s="38" t="s">
        <v>483</v>
      </c>
      <c r="C9" s="39" t="n">
        <v>1</v>
      </c>
      <c r="D9" s="39" t="n">
        <v>1</v>
      </c>
      <c r="E9" s="40" t="n">
        <f aca="false">IF(AND(E$3&gt;=$C9,E$3&lt;=$D9),1,"")</f>
        <v>1</v>
      </c>
      <c r="F9" s="40" t="str">
        <f aca="false">IF(AND(F$3&gt;=$C9,F$3&lt;=$D9),1,"")</f>
        <v/>
      </c>
      <c r="G9" s="40" t="str">
        <f aca="false">IF(AND(G$3&gt;=$C9,G$3&lt;=$D9),1,"")</f>
        <v/>
      </c>
      <c r="H9" s="40" t="str">
        <f aca="false">IF(AND(H$3&gt;=$C9,H$3&lt;=$D9),1,"")</f>
        <v/>
      </c>
      <c r="I9" s="40" t="str">
        <f aca="false">IF(AND(I$3&gt;=$C9,I$3&lt;=$D9),1,"")</f>
        <v/>
      </c>
      <c r="J9" s="40" t="str">
        <f aca="false">IF(AND(J$3&gt;=$C9,J$3&lt;=$D9),1,"")</f>
        <v/>
      </c>
      <c r="K9" s="40" t="str">
        <f aca="false">IF(AND(K$3&gt;=$C9,K$3&lt;=$D9),1,"")</f>
        <v/>
      </c>
      <c r="L9" s="40" t="str">
        <f aca="false">IF(AND(L$3&gt;=$C9,L$3&lt;=$D9),1,"")</f>
        <v/>
      </c>
      <c r="M9" s="40" t="str">
        <f aca="false">IF(AND(M$3&gt;=$C9,M$3&lt;=$D9),1,"")</f>
        <v/>
      </c>
      <c r="N9" s="40" t="str">
        <f aca="false">IF(AND(N$3&gt;=$C9,N$3&lt;=$D9),1,"")</f>
        <v/>
      </c>
      <c r="O9" s="40" t="str">
        <f aca="false">IF(AND(O$3&gt;=$C9,O$3&lt;=$D9),1,"")</f>
        <v/>
      </c>
      <c r="P9" s="40" t="str">
        <f aca="false">IF(AND(P$3&gt;=$C9,P$3&lt;=$D9),1,"")</f>
        <v/>
      </c>
    </row>
    <row r="10" customFormat="false" ht="15" hidden="false" customHeight="false" outlineLevel="0" collapsed="false">
      <c r="A10" s="17"/>
      <c r="B10" s="38" t="s">
        <v>484</v>
      </c>
      <c r="C10" s="39" t="n">
        <v>1</v>
      </c>
      <c r="D10" s="39" t="n">
        <v>3</v>
      </c>
      <c r="E10" s="40" t="n">
        <f aca="false">IF(AND(E$3&gt;=$C10,E$3&lt;=$D10),1,"")</f>
        <v>1</v>
      </c>
      <c r="F10" s="40" t="n">
        <f aca="false">IF(AND(F$3&gt;=$C10,F$3&lt;=$D10),1,"")</f>
        <v>1</v>
      </c>
      <c r="G10" s="40" t="n">
        <f aca="false">IF(AND(G$3&gt;=$C10,G$3&lt;=$D10),1,"")</f>
        <v>1</v>
      </c>
      <c r="H10" s="40" t="str">
        <f aca="false">IF(AND(H$3&gt;=$C10,H$3&lt;=$D10),1,"")</f>
        <v/>
      </c>
      <c r="I10" s="40" t="str">
        <f aca="false">IF(AND(I$3&gt;=$C10,I$3&lt;=$D10),1,"")</f>
        <v/>
      </c>
      <c r="J10" s="40" t="str">
        <f aca="false">IF(AND(J$3&gt;=$C10,J$3&lt;=$D10),1,"")</f>
        <v/>
      </c>
      <c r="K10" s="40" t="str">
        <f aca="false">IF(AND(K$3&gt;=$C10,K$3&lt;=$D10),1,"")</f>
        <v/>
      </c>
      <c r="L10" s="40" t="str">
        <f aca="false">IF(AND(L$3&gt;=$C10,L$3&lt;=$D10),1,"")</f>
        <v/>
      </c>
      <c r="M10" s="40" t="str">
        <f aca="false">IF(AND(M$3&gt;=$C10,M$3&lt;=$D10),1,"")</f>
        <v/>
      </c>
      <c r="N10" s="40" t="str">
        <f aca="false">IF(AND(N$3&gt;=$C10,N$3&lt;=$D10),1,"")</f>
        <v/>
      </c>
      <c r="O10" s="40" t="str">
        <f aca="false">IF(AND(O$3&gt;=$C10,O$3&lt;=$D10),1,"")</f>
        <v/>
      </c>
      <c r="P10" s="40" t="str">
        <f aca="false">IF(AND(P$3&gt;=$C10,P$3&lt;=$D10),1,"")</f>
        <v/>
      </c>
    </row>
    <row r="11" customFormat="false" ht="15" hidden="false" customHeight="false" outlineLevel="0" collapsed="false">
      <c r="A11" s="17"/>
      <c r="B11" s="38" t="s">
        <v>485</v>
      </c>
      <c r="C11" s="39" t="n">
        <v>1</v>
      </c>
      <c r="D11" s="39" t="n">
        <v>3</v>
      </c>
      <c r="E11" s="40" t="n">
        <f aca="false">IF(AND(E$3&gt;=$C11,E$3&lt;=$D11),1,"")</f>
        <v>1</v>
      </c>
      <c r="F11" s="40" t="n">
        <f aca="false">IF(AND(F$3&gt;=$C11,F$3&lt;=$D11),1,"")</f>
        <v>1</v>
      </c>
      <c r="G11" s="40" t="n">
        <f aca="false">IF(AND(G$3&gt;=$C11,G$3&lt;=$D11),1,"")</f>
        <v>1</v>
      </c>
      <c r="H11" s="40" t="str">
        <f aca="false">IF(AND(H$3&gt;=$C11,H$3&lt;=$D11),1,"")</f>
        <v/>
      </c>
      <c r="I11" s="40" t="str">
        <f aca="false">IF(AND(I$3&gt;=$C11,I$3&lt;=$D11),1,"")</f>
        <v/>
      </c>
      <c r="J11" s="40" t="str">
        <f aca="false">IF(AND(J$3&gt;=$C11,J$3&lt;=$D11),1,"")</f>
        <v/>
      </c>
      <c r="K11" s="40" t="str">
        <f aca="false">IF(AND(K$3&gt;=$C11,K$3&lt;=$D11),1,"")</f>
        <v/>
      </c>
      <c r="L11" s="40" t="str">
        <f aca="false">IF(AND(L$3&gt;=$C11,L$3&lt;=$D11),1,"")</f>
        <v/>
      </c>
      <c r="M11" s="40" t="str">
        <f aca="false">IF(AND(M$3&gt;=$C11,M$3&lt;=$D11),1,"")</f>
        <v/>
      </c>
      <c r="N11" s="40" t="str">
        <f aca="false">IF(AND(N$3&gt;=$C11,N$3&lt;=$D11),1,"")</f>
        <v/>
      </c>
      <c r="O11" s="40" t="str">
        <f aca="false">IF(AND(O$3&gt;=$C11,O$3&lt;=$D11),1,"")</f>
        <v/>
      </c>
      <c r="P11" s="40" t="str">
        <f aca="false">IF(AND(P$3&gt;=$C11,P$3&lt;=$D11),1,"")</f>
        <v/>
      </c>
    </row>
    <row r="12" customFormat="false" ht="15" hidden="false" customHeight="false" outlineLevel="0" collapsed="false">
      <c r="A12" s="17"/>
      <c r="B12" s="38" t="s">
        <v>486</v>
      </c>
      <c r="C12" s="39" t="n">
        <v>1</v>
      </c>
      <c r="D12" s="39" t="n">
        <v>3</v>
      </c>
      <c r="E12" s="40" t="n">
        <f aca="false">IF(AND(E$3&gt;=$C12,E$3&lt;=$D12),1,"")</f>
        <v>1</v>
      </c>
      <c r="F12" s="40" t="n">
        <f aca="false">IF(AND(F$3&gt;=$C12,F$3&lt;=$D12),1,"")</f>
        <v>1</v>
      </c>
      <c r="G12" s="40" t="n">
        <f aca="false">IF(AND(G$3&gt;=$C12,G$3&lt;=$D12),1,"")</f>
        <v>1</v>
      </c>
      <c r="H12" s="40" t="str">
        <f aca="false">IF(AND(H$3&gt;=$C12,H$3&lt;=$D12),1,"")</f>
        <v/>
      </c>
      <c r="I12" s="40" t="str">
        <f aca="false">IF(AND(I$3&gt;=$C12,I$3&lt;=$D12),1,"")</f>
        <v/>
      </c>
      <c r="J12" s="40" t="str">
        <f aca="false">IF(AND(J$3&gt;=$C12,J$3&lt;=$D12),1,"")</f>
        <v/>
      </c>
      <c r="K12" s="40" t="str">
        <f aca="false">IF(AND(K$3&gt;=$C12,K$3&lt;=$D12),1,"")</f>
        <v/>
      </c>
      <c r="L12" s="40" t="str">
        <f aca="false">IF(AND(L$3&gt;=$C12,L$3&lt;=$D12),1,"")</f>
        <v/>
      </c>
      <c r="M12" s="40" t="str">
        <f aca="false">IF(AND(M$3&gt;=$C12,M$3&lt;=$D12),1,"")</f>
        <v/>
      </c>
      <c r="N12" s="40" t="str">
        <f aca="false">IF(AND(N$3&gt;=$C12,N$3&lt;=$D12),1,"")</f>
        <v/>
      </c>
      <c r="O12" s="40" t="str">
        <f aca="false">IF(AND(O$3&gt;=$C12,O$3&lt;=$D12),1,"")</f>
        <v/>
      </c>
      <c r="P12" s="40" t="str">
        <f aca="false">IF(AND(P$3&gt;=$C12,P$3&lt;=$D12),1,"")</f>
        <v/>
      </c>
    </row>
    <row r="13" customFormat="false" ht="15" hidden="false" customHeight="false" outlineLevel="0" collapsed="false">
      <c r="A13" s="17"/>
      <c r="B13" s="38" t="s">
        <v>487</v>
      </c>
      <c r="C13" s="39" t="n">
        <v>2</v>
      </c>
      <c r="D13" s="39" t="n">
        <v>3</v>
      </c>
      <c r="E13" s="40" t="str">
        <f aca="false">IF(AND(E$3&gt;=$C13,E$3&lt;=$D13),1,"")</f>
        <v/>
      </c>
      <c r="F13" s="40" t="n">
        <f aca="false">IF(AND(F$3&gt;=$C13,F$3&lt;=$D13),1,"")</f>
        <v>1</v>
      </c>
      <c r="G13" s="40" t="n">
        <f aca="false">IF(AND(G$3&gt;=$C13,G$3&lt;=$D13),1,"")</f>
        <v>1</v>
      </c>
      <c r="H13" s="40" t="str">
        <f aca="false">IF(AND(H$3&gt;=$C13,H$3&lt;=$D13),1,"")</f>
        <v/>
      </c>
      <c r="I13" s="40" t="str">
        <f aca="false">IF(AND(I$3&gt;=$C13,I$3&lt;=$D13),1,"")</f>
        <v/>
      </c>
      <c r="J13" s="40" t="str">
        <f aca="false">IF(AND(J$3&gt;=$C13,J$3&lt;=$D13),1,"")</f>
        <v/>
      </c>
      <c r="K13" s="40" t="str">
        <f aca="false">IF(AND(K$3&gt;=$C13,K$3&lt;=$D13),1,"")</f>
        <v/>
      </c>
      <c r="L13" s="40" t="str">
        <f aca="false">IF(AND(L$3&gt;=$C13,L$3&lt;=$D13),1,"")</f>
        <v/>
      </c>
      <c r="M13" s="40" t="str">
        <f aca="false">IF(AND(M$3&gt;=$C13,M$3&lt;=$D13),1,"")</f>
        <v/>
      </c>
      <c r="N13" s="40" t="str">
        <f aca="false">IF(AND(N$3&gt;=$C13,N$3&lt;=$D13),1,"")</f>
        <v/>
      </c>
      <c r="O13" s="40" t="str">
        <f aca="false">IF(AND(O$3&gt;=$C13,O$3&lt;=$D13),1,"")</f>
        <v/>
      </c>
      <c r="P13" s="40" t="str">
        <f aca="false">IF(AND(P$3&gt;=$C13,P$3&lt;=$D13),1,"")</f>
        <v/>
      </c>
    </row>
    <row r="14" customFormat="false" ht="15" hidden="false" customHeight="false" outlineLevel="0" collapsed="false">
      <c r="A14" s="18" t="s">
        <v>40</v>
      </c>
      <c r="B14" s="38" t="s">
        <v>488</v>
      </c>
      <c r="C14" s="39" t="n">
        <v>5</v>
      </c>
      <c r="D14" s="39" t="n">
        <v>5</v>
      </c>
      <c r="E14" s="40" t="str">
        <f aca="false">IF(AND(E$3&gt;=$C14,E$3&lt;=$D14),1,"")</f>
        <v/>
      </c>
      <c r="F14" s="40" t="str">
        <f aca="false">IF(AND(F$3&gt;=$C14,F$3&lt;=$D14),1,"")</f>
        <v/>
      </c>
      <c r="G14" s="40" t="str">
        <f aca="false">IF(AND(G$3&gt;=$C14,G$3&lt;=$D14),1,"")</f>
        <v/>
      </c>
      <c r="H14" s="40" t="str">
        <f aca="false">IF(AND(H$3&gt;=$C14,H$3&lt;=$D14),1,"")</f>
        <v/>
      </c>
      <c r="I14" s="40" t="n">
        <f aca="false">IF(AND(I$3&gt;=$C14,I$3&lt;=$D14),1,"")</f>
        <v>1</v>
      </c>
      <c r="J14" s="40" t="str">
        <f aca="false">IF(AND(J$3&gt;=$C14,J$3&lt;=$D14),1,"")</f>
        <v/>
      </c>
      <c r="K14" s="40" t="str">
        <f aca="false">IF(AND(K$3&gt;=$C14,K$3&lt;=$D14),1,"")</f>
        <v/>
      </c>
      <c r="L14" s="40" t="str">
        <f aca="false">IF(AND(L$3&gt;=$C14,L$3&lt;=$D14),1,"")</f>
        <v/>
      </c>
      <c r="M14" s="40" t="str">
        <f aca="false">IF(AND(M$3&gt;=$C14,M$3&lt;=$D14),1,"")</f>
        <v/>
      </c>
      <c r="N14" s="40" t="str">
        <f aca="false">IF(AND(N$3&gt;=$C14,N$3&lt;=$D14),1,"")</f>
        <v/>
      </c>
      <c r="O14" s="40" t="str">
        <f aca="false">IF(AND(O$3&gt;=$C14,O$3&lt;=$D14),1,"")</f>
        <v/>
      </c>
      <c r="P14" s="40" t="str">
        <f aca="false">IF(AND(P$3&gt;=$C14,P$3&lt;=$D14),1,"")</f>
        <v/>
      </c>
    </row>
    <row r="15" customFormat="false" ht="15" hidden="false" customHeight="false" outlineLevel="0" collapsed="false">
      <c r="A15" s="18"/>
      <c r="B15" s="38" t="s">
        <v>489</v>
      </c>
      <c r="C15" s="39" t="n">
        <v>6</v>
      </c>
      <c r="D15" s="39" t="n">
        <v>6</v>
      </c>
      <c r="E15" s="40" t="str">
        <f aca="false">IF(AND(E$3&gt;=$C15,E$3&lt;=$D15),1,"")</f>
        <v/>
      </c>
      <c r="F15" s="40" t="str">
        <f aca="false">IF(AND(F$3&gt;=$C15,F$3&lt;=$D15),1,"")</f>
        <v/>
      </c>
      <c r="G15" s="40" t="str">
        <f aca="false">IF(AND(G$3&gt;=$C15,G$3&lt;=$D15),1,"")</f>
        <v/>
      </c>
      <c r="H15" s="40" t="str">
        <f aca="false">IF(AND(H$3&gt;=$C15,H$3&lt;=$D15),1,"")</f>
        <v/>
      </c>
      <c r="I15" s="40" t="str">
        <f aca="false">IF(AND(I$3&gt;=$C15,I$3&lt;=$D15),1,"")</f>
        <v/>
      </c>
      <c r="J15" s="40" t="n">
        <f aca="false">IF(AND(J$3&gt;=$C15,J$3&lt;=$D15),1,"")</f>
        <v>1</v>
      </c>
      <c r="K15" s="40" t="str">
        <f aca="false">IF(AND(K$3&gt;=$C15,K$3&lt;=$D15),1,"")</f>
        <v/>
      </c>
      <c r="L15" s="40" t="str">
        <f aca="false">IF(AND(L$3&gt;=$C15,L$3&lt;=$D15),1,"")</f>
        <v/>
      </c>
      <c r="M15" s="40" t="str">
        <f aca="false">IF(AND(M$3&gt;=$C15,M$3&lt;=$D15),1,"")</f>
        <v/>
      </c>
      <c r="N15" s="40" t="str">
        <f aca="false">IF(AND(N$3&gt;=$C15,N$3&lt;=$D15),1,"")</f>
        <v/>
      </c>
      <c r="O15" s="40" t="str">
        <f aca="false">IF(AND(O$3&gt;=$C15,O$3&lt;=$D15),1,"")</f>
        <v/>
      </c>
      <c r="P15" s="40" t="str">
        <f aca="false">IF(AND(P$3&gt;=$C15,P$3&lt;=$D15),1,"")</f>
        <v/>
      </c>
    </row>
    <row r="16" customFormat="false" ht="15" hidden="false" customHeight="false" outlineLevel="0" collapsed="false">
      <c r="A16" s="19" t="s">
        <v>43</v>
      </c>
      <c r="B16" s="38" t="s">
        <v>490</v>
      </c>
      <c r="C16" s="39" t="n">
        <v>2</v>
      </c>
      <c r="D16" s="39" t="n">
        <v>3</v>
      </c>
      <c r="E16" s="40" t="str">
        <f aca="false">IF(AND(E$3&gt;=$C16,E$3&lt;=$D16),1,"")</f>
        <v/>
      </c>
      <c r="F16" s="40" t="n">
        <f aca="false">IF(AND(F$3&gt;=$C16,F$3&lt;=$D16),1,"")</f>
        <v>1</v>
      </c>
      <c r="G16" s="40" t="n">
        <f aca="false">IF(AND(G$3&gt;=$C16,G$3&lt;=$D16),1,"")</f>
        <v>1</v>
      </c>
      <c r="H16" s="40" t="str">
        <f aca="false">IF(AND(H$3&gt;=$C16,H$3&lt;=$D16),1,"")</f>
        <v/>
      </c>
      <c r="I16" s="40" t="str">
        <f aca="false">IF(AND(I$3&gt;=$C16,I$3&lt;=$D16),1,"")</f>
        <v/>
      </c>
      <c r="J16" s="40" t="str">
        <f aca="false">IF(AND(J$3&gt;=$C16,J$3&lt;=$D16),1,"")</f>
        <v/>
      </c>
      <c r="K16" s="40" t="str">
        <f aca="false">IF(AND(K$3&gt;=$C16,K$3&lt;=$D16),1,"")</f>
        <v/>
      </c>
      <c r="L16" s="40" t="str">
        <f aca="false">IF(AND(L$3&gt;=$C16,L$3&lt;=$D16),1,"")</f>
        <v/>
      </c>
      <c r="M16" s="40" t="str">
        <f aca="false">IF(AND(M$3&gt;=$C16,M$3&lt;=$D16),1,"")</f>
        <v/>
      </c>
      <c r="N16" s="40" t="str">
        <f aca="false">IF(AND(N$3&gt;=$C16,N$3&lt;=$D16),1,"")</f>
        <v/>
      </c>
      <c r="O16" s="40" t="str">
        <f aca="false">IF(AND(O$3&gt;=$C16,O$3&lt;=$D16),1,"")</f>
        <v/>
      </c>
      <c r="P16" s="40" t="str">
        <f aca="false">IF(AND(P$3&gt;=$C16,P$3&lt;=$D16),1,"")</f>
        <v/>
      </c>
    </row>
    <row r="17" customFormat="false" ht="15" hidden="false" customHeight="false" outlineLevel="0" collapsed="false">
      <c r="A17" s="19"/>
      <c r="B17" s="38" t="s">
        <v>491</v>
      </c>
      <c r="C17" s="39" t="n">
        <v>4</v>
      </c>
      <c r="D17" s="39" t="n">
        <v>4</v>
      </c>
      <c r="E17" s="40" t="str">
        <f aca="false">IF(AND(E$3&gt;=$C17,E$3&lt;=$D17),1,"")</f>
        <v/>
      </c>
      <c r="F17" s="40" t="str">
        <f aca="false">IF(AND(F$3&gt;=$C17,F$3&lt;=$D17),1,"")</f>
        <v/>
      </c>
      <c r="G17" s="40" t="str">
        <f aca="false">IF(AND(G$3&gt;=$C17,G$3&lt;=$D17),1,"")</f>
        <v/>
      </c>
      <c r="H17" s="40" t="n">
        <f aca="false">IF(AND(H$3&gt;=$C17,H$3&lt;=$D17),1,"")</f>
        <v>1</v>
      </c>
      <c r="I17" s="40" t="str">
        <f aca="false">IF(AND(I$3&gt;=$C17,I$3&lt;=$D17),1,"")</f>
        <v/>
      </c>
      <c r="J17" s="40" t="str">
        <f aca="false">IF(AND(J$3&gt;=$C17,J$3&lt;=$D17),1,"")</f>
        <v/>
      </c>
      <c r="K17" s="40" t="str">
        <f aca="false">IF(AND(K$3&gt;=$C17,K$3&lt;=$D17),1,"")</f>
        <v/>
      </c>
      <c r="L17" s="40" t="str">
        <f aca="false">IF(AND(L$3&gt;=$C17,L$3&lt;=$D17),1,"")</f>
        <v/>
      </c>
      <c r="M17" s="40" t="str">
        <f aca="false">IF(AND(M$3&gt;=$C17,M$3&lt;=$D17),1,"")</f>
        <v/>
      </c>
      <c r="N17" s="40" t="str">
        <f aca="false">IF(AND(N$3&gt;=$C17,N$3&lt;=$D17),1,"")</f>
        <v/>
      </c>
      <c r="O17" s="40" t="str">
        <f aca="false">IF(AND(O$3&gt;=$C17,O$3&lt;=$D17),1,"")</f>
        <v/>
      </c>
      <c r="P17" s="40" t="str">
        <f aca="false">IF(AND(P$3&gt;=$C17,P$3&lt;=$D17),1,"")</f>
        <v/>
      </c>
    </row>
    <row r="18" customFormat="false" ht="15" hidden="false" customHeight="false" outlineLevel="0" collapsed="false">
      <c r="A18" s="19"/>
      <c r="B18" s="38" t="s">
        <v>492</v>
      </c>
      <c r="C18" s="39" t="n">
        <v>6</v>
      </c>
      <c r="D18" s="39" t="n">
        <v>6</v>
      </c>
      <c r="E18" s="40" t="str">
        <f aca="false">IF(AND(E$3&gt;=$C18,E$3&lt;=$D18),1,"")</f>
        <v/>
      </c>
      <c r="F18" s="40" t="str">
        <f aca="false">IF(AND(F$3&gt;=$C18,F$3&lt;=$D18),1,"")</f>
        <v/>
      </c>
      <c r="G18" s="40" t="str">
        <f aca="false">IF(AND(G$3&gt;=$C18,G$3&lt;=$D18),1,"")</f>
        <v/>
      </c>
      <c r="H18" s="40" t="str">
        <f aca="false">IF(AND(H$3&gt;=$C18,H$3&lt;=$D18),1,"")</f>
        <v/>
      </c>
      <c r="I18" s="40" t="str">
        <f aca="false">IF(AND(I$3&gt;=$C18,I$3&lt;=$D18),1,"")</f>
        <v/>
      </c>
      <c r="J18" s="40" t="n">
        <f aca="false">IF(AND(J$3&gt;=$C18,J$3&lt;=$D18),1,"")</f>
        <v>1</v>
      </c>
      <c r="K18" s="40" t="str">
        <f aca="false">IF(AND(K$3&gt;=$C18,K$3&lt;=$D18),1,"")</f>
        <v/>
      </c>
      <c r="L18" s="40" t="str">
        <f aca="false">IF(AND(L$3&gt;=$C18,L$3&lt;=$D18),1,"")</f>
        <v/>
      </c>
      <c r="M18" s="40" t="str">
        <f aca="false">IF(AND(M$3&gt;=$C18,M$3&lt;=$D18),1,"")</f>
        <v/>
      </c>
      <c r="N18" s="40" t="str">
        <f aca="false">IF(AND(N$3&gt;=$C18,N$3&lt;=$D18),1,"")</f>
        <v/>
      </c>
      <c r="O18" s="40" t="str">
        <f aca="false">IF(AND(O$3&gt;=$C18,O$3&lt;=$D18),1,"")</f>
        <v/>
      </c>
      <c r="P18" s="40" t="str">
        <f aca="false">IF(AND(P$3&gt;=$C18,P$3&lt;=$D18),1,"")</f>
        <v/>
      </c>
    </row>
    <row r="19" customFormat="false" ht="15" hidden="false" customHeight="false" outlineLevel="0" collapsed="false">
      <c r="A19" s="19"/>
      <c r="B19" s="38" t="s">
        <v>493</v>
      </c>
      <c r="C19" s="39" t="n">
        <v>6</v>
      </c>
      <c r="D19" s="39" t="n">
        <v>6</v>
      </c>
      <c r="E19" s="40" t="str">
        <f aca="false">IF(AND(E$3&gt;=$C19,E$3&lt;=$D19),1,"")</f>
        <v/>
      </c>
      <c r="F19" s="40" t="str">
        <f aca="false">IF(AND(F$3&gt;=$C19,F$3&lt;=$D19),1,"")</f>
        <v/>
      </c>
      <c r="G19" s="40" t="str">
        <f aca="false">IF(AND(G$3&gt;=$C19,G$3&lt;=$D19),1,"")</f>
        <v/>
      </c>
      <c r="H19" s="40" t="str">
        <f aca="false">IF(AND(H$3&gt;=$C19,H$3&lt;=$D19),1,"")</f>
        <v/>
      </c>
      <c r="I19" s="40" t="str">
        <f aca="false">IF(AND(I$3&gt;=$C19,I$3&lt;=$D19),1,"")</f>
        <v/>
      </c>
      <c r="J19" s="40" t="n">
        <f aca="false">IF(AND(J$3&gt;=$C19,J$3&lt;=$D19),1,"")</f>
        <v>1</v>
      </c>
      <c r="K19" s="40" t="str">
        <f aca="false">IF(AND(K$3&gt;=$C19,K$3&lt;=$D19),1,"")</f>
        <v/>
      </c>
      <c r="L19" s="40" t="str">
        <f aca="false">IF(AND(L$3&gt;=$C19,L$3&lt;=$D19),1,"")</f>
        <v/>
      </c>
      <c r="M19" s="40" t="str">
        <f aca="false">IF(AND(M$3&gt;=$C19,M$3&lt;=$D19),1,"")</f>
        <v/>
      </c>
      <c r="N19" s="40" t="str">
        <f aca="false">IF(AND(N$3&gt;=$C19,N$3&lt;=$D19),1,"")</f>
        <v/>
      </c>
      <c r="O19" s="40" t="str">
        <f aca="false">IF(AND(O$3&gt;=$C19,O$3&lt;=$D19),1,"")</f>
        <v/>
      </c>
      <c r="P19" s="40" t="str">
        <f aca="false">IF(AND(P$3&gt;=$C19,P$3&lt;=$D19),1,"")</f>
        <v/>
      </c>
    </row>
    <row r="20" customFormat="false" ht="15" hidden="false" customHeight="false" outlineLevel="0" collapsed="false">
      <c r="A20" s="19"/>
      <c r="B20" s="38" t="s">
        <v>494</v>
      </c>
      <c r="C20" s="39" t="n">
        <v>6</v>
      </c>
      <c r="D20" s="39" t="n">
        <v>6</v>
      </c>
      <c r="E20" s="40" t="str">
        <f aca="false">IF(AND(E$3&gt;=$C20,E$3&lt;=$D20),1,"")</f>
        <v/>
      </c>
      <c r="F20" s="40" t="str">
        <f aca="false">IF(AND(F$3&gt;=$C20,F$3&lt;=$D20),1,"")</f>
        <v/>
      </c>
      <c r="G20" s="40" t="str">
        <f aca="false">IF(AND(G$3&gt;=$C20,G$3&lt;=$D20),1,"")</f>
        <v/>
      </c>
      <c r="H20" s="40" t="str">
        <f aca="false">IF(AND(H$3&gt;=$C20,H$3&lt;=$D20),1,"")</f>
        <v/>
      </c>
      <c r="I20" s="40" t="str">
        <f aca="false">IF(AND(I$3&gt;=$C20,I$3&lt;=$D20),1,"")</f>
        <v/>
      </c>
      <c r="J20" s="40" t="n">
        <f aca="false">IF(AND(J$3&gt;=$C20,J$3&lt;=$D20),1,"")</f>
        <v>1</v>
      </c>
      <c r="K20" s="40" t="str">
        <f aca="false">IF(AND(K$3&gt;=$C20,K$3&lt;=$D20),1,"")</f>
        <v/>
      </c>
      <c r="L20" s="40" t="str">
        <f aca="false">IF(AND(L$3&gt;=$C20,L$3&lt;=$D20),1,"")</f>
        <v/>
      </c>
      <c r="M20" s="40" t="str">
        <f aca="false">IF(AND(M$3&gt;=$C20,M$3&lt;=$D20),1,"")</f>
        <v/>
      </c>
      <c r="N20" s="40" t="str">
        <f aca="false">IF(AND(N$3&gt;=$C20,N$3&lt;=$D20),1,"")</f>
        <v/>
      </c>
      <c r="O20" s="40" t="str">
        <f aca="false">IF(AND(O$3&gt;=$C20,O$3&lt;=$D20),1,"")</f>
        <v/>
      </c>
      <c r="P20" s="40" t="str">
        <f aca="false">IF(AND(P$3&gt;=$C20,P$3&lt;=$D20),1,"")</f>
        <v/>
      </c>
    </row>
    <row r="21" customFormat="false" ht="15" hidden="false" customHeight="false" outlineLevel="0" collapsed="false">
      <c r="A21" s="19"/>
      <c r="B21" s="38" t="s">
        <v>495</v>
      </c>
      <c r="C21" s="39" t="n">
        <v>7</v>
      </c>
      <c r="D21" s="39" t="n">
        <v>8</v>
      </c>
      <c r="E21" s="40" t="str">
        <f aca="false">IF(AND(E$3&gt;=$C21,E$3&lt;=$D21),1,"")</f>
        <v/>
      </c>
      <c r="F21" s="40" t="str">
        <f aca="false">IF(AND(F$3&gt;=$C21,F$3&lt;=$D21),1,"")</f>
        <v/>
      </c>
      <c r="G21" s="40" t="str">
        <f aca="false">IF(AND(G$3&gt;=$C21,G$3&lt;=$D21),1,"")</f>
        <v/>
      </c>
      <c r="H21" s="40" t="str">
        <f aca="false">IF(AND(H$3&gt;=$C21,H$3&lt;=$D21),1,"")</f>
        <v/>
      </c>
      <c r="I21" s="40" t="str">
        <f aca="false">IF(AND(I$3&gt;=$C21,I$3&lt;=$D21),1,"")</f>
        <v/>
      </c>
      <c r="J21" s="40" t="str">
        <f aca="false">IF(AND(J$3&gt;=$C21,J$3&lt;=$D21),1,"")</f>
        <v/>
      </c>
      <c r="K21" s="40" t="n">
        <f aca="false">IF(AND(K$3&gt;=$C21,K$3&lt;=$D21),1,"")</f>
        <v>1</v>
      </c>
      <c r="L21" s="40" t="n">
        <f aca="false">IF(AND(L$3&gt;=$C21,L$3&lt;=$D21),1,"")</f>
        <v>1</v>
      </c>
      <c r="M21" s="40" t="str">
        <f aca="false">IF(AND(M$3&gt;=$C21,M$3&lt;=$D21),1,"")</f>
        <v/>
      </c>
      <c r="N21" s="40" t="str">
        <f aca="false">IF(AND(N$3&gt;=$C21,N$3&lt;=$D21),1,"")</f>
        <v/>
      </c>
      <c r="O21" s="40" t="str">
        <f aca="false">IF(AND(O$3&gt;=$C21,O$3&lt;=$D21),1,"")</f>
        <v/>
      </c>
      <c r="P21" s="40" t="str">
        <f aca="false">IF(AND(P$3&gt;=$C21,P$3&lt;=$D21),1,"")</f>
        <v/>
      </c>
    </row>
    <row r="22" customFormat="false" ht="15" hidden="false" customHeight="false" outlineLevel="0" collapsed="false">
      <c r="A22" s="19"/>
      <c r="B22" s="38" t="s">
        <v>496</v>
      </c>
      <c r="C22" s="39" t="n">
        <v>8</v>
      </c>
      <c r="D22" s="39" t="n">
        <v>8</v>
      </c>
      <c r="E22" s="40" t="str">
        <f aca="false">IF(AND(E$3&gt;=$C22,E$3&lt;=$D22),1,"")</f>
        <v/>
      </c>
      <c r="F22" s="40" t="str">
        <f aca="false">IF(AND(F$3&gt;=$C22,F$3&lt;=$D22),1,"")</f>
        <v/>
      </c>
      <c r="G22" s="40" t="str">
        <f aca="false">IF(AND(G$3&gt;=$C22,G$3&lt;=$D22),1,"")</f>
        <v/>
      </c>
      <c r="H22" s="40" t="str">
        <f aca="false">IF(AND(H$3&gt;=$C22,H$3&lt;=$D22),1,"")</f>
        <v/>
      </c>
      <c r="I22" s="40" t="str">
        <f aca="false">IF(AND(I$3&gt;=$C22,I$3&lt;=$D22),1,"")</f>
        <v/>
      </c>
      <c r="J22" s="40" t="str">
        <f aca="false">IF(AND(J$3&gt;=$C22,J$3&lt;=$D22),1,"")</f>
        <v/>
      </c>
      <c r="K22" s="40" t="str">
        <f aca="false">IF(AND(K$3&gt;=$C22,K$3&lt;=$D22),1,"")</f>
        <v/>
      </c>
      <c r="L22" s="40" t="n">
        <f aca="false">IF(AND(L$3&gt;=$C22,L$3&lt;=$D22),1,"")</f>
        <v>1</v>
      </c>
      <c r="M22" s="40" t="str">
        <f aca="false">IF(AND(M$3&gt;=$C22,M$3&lt;=$D22),1,"")</f>
        <v/>
      </c>
      <c r="N22" s="40" t="str">
        <f aca="false">IF(AND(N$3&gt;=$C22,N$3&lt;=$D22),1,"")</f>
        <v/>
      </c>
      <c r="O22" s="40" t="str">
        <f aca="false">IF(AND(O$3&gt;=$C22,O$3&lt;=$D22),1,"")</f>
        <v/>
      </c>
      <c r="P22" s="40" t="str">
        <f aca="false">IF(AND(P$3&gt;=$C22,P$3&lt;=$D22),1,"")</f>
        <v/>
      </c>
    </row>
    <row r="23" customFormat="false" ht="15" hidden="false" customHeight="false" outlineLevel="0" collapsed="false">
      <c r="A23" s="19"/>
      <c r="B23" s="38" t="s">
        <v>497</v>
      </c>
      <c r="C23" s="39" t="n">
        <v>8</v>
      </c>
      <c r="D23" s="39" t="n">
        <v>12</v>
      </c>
      <c r="E23" s="40" t="str">
        <f aca="false">IF(AND(E$3&gt;=$C23,E$3&lt;=$D23),1,"")</f>
        <v/>
      </c>
      <c r="F23" s="40" t="str">
        <f aca="false">IF(AND(F$3&gt;=$C23,F$3&lt;=$D23),1,"")</f>
        <v/>
      </c>
      <c r="G23" s="40" t="str">
        <f aca="false">IF(AND(G$3&gt;=$C23,G$3&lt;=$D23),1,"")</f>
        <v/>
      </c>
      <c r="H23" s="40" t="str">
        <f aca="false">IF(AND(H$3&gt;=$C23,H$3&lt;=$D23),1,"")</f>
        <v/>
      </c>
      <c r="I23" s="40" t="str">
        <f aca="false">IF(AND(I$3&gt;=$C23,I$3&lt;=$D23),1,"")</f>
        <v/>
      </c>
      <c r="J23" s="40" t="str">
        <f aca="false">IF(AND(J$3&gt;=$C23,J$3&lt;=$D23),1,"")</f>
        <v/>
      </c>
      <c r="K23" s="40" t="str">
        <f aca="false">IF(AND(K$3&gt;=$C23,K$3&lt;=$D23),1,"")</f>
        <v/>
      </c>
      <c r="L23" s="40" t="n">
        <f aca="false">IF(AND(L$3&gt;=$C23,L$3&lt;=$D23),1,"")</f>
        <v>1</v>
      </c>
      <c r="M23" s="40" t="n">
        <f aca="false">IF(AND(M$3&gt;=$C23,M$3&lt;=$D23),1,"")</f>
        <v>1</v>
      </c>
      <c r="N23" s="40" t="n">
        <f aca="false">IF(AND(N$3&gt;=$C23,N$3&lt;=$D23),1,"")</f>
        <v>1</v>
      </c>
      <c r="O23" s="40" t="n">
        <f aca="false">IF(AND(O$3&gt;=$C23,O$3&lt;=$D23),1,"")</f>
        <v>1</v>
      </c>
      <c r="P23" s="40" t="n">
        <f aca="false">IF(AND(P$3&gt;=$C23,P$3&lt;=$D23),1,"")</f>
        <v>1</v>
      </c>
    </row>
    <row r="24" customFormat="false" ht="15" hidden="false" customHeight="false" outlineLevel="0" collapsed="false">
      <c r="A24" s="19"/>
      <c r="B24" s="38" t="s">
        <v>498</v>
      </c>
      <c r="C24" s="39" t="n">
        <v>9</v>
      </c>
      <c r="D24" s="39" t="n">
        <v>9</v>
      </c>
      <c r="E24" s="40" t="str">
        <f aca="false">IF(AND(E$3&gt;=$C24,E$3&lt;=$D24),1,"")</f>
        <v/>
      </c>
      <c r="F24" s="40" t="str">
        <f aca="false">IF(AND(F$3&gt;=$C24,F$3&lt;=$D24),1,"")</f>
        <v/>
      </c>
      <c r="G24" s="40" t="str">
        <f aca="false">IF(AND(G$3&gt;=$C24,G$3&lt;=$D24),1,"")</f>
        <v/>
      </c>
      <c r="H24" s="40" t="str">
        <f aca="false">IF(AND(H$3&gt;=$C24,H$3&lt;=$D24),1,"")</f>
        <v/>
      </c>
      <c r="I24" s="40" t="str">
        <f aca="false">IF(AND(I$3&gt;=$C24,I$3&lt;=$D24),1,"")</f>
        <v/>
      </c>
      <c r="J24" s="40" t="str">
        <f aca="false">IF(AND(J$3&gt;=$C24,J$3&lt;=$D24),1,"")</f>
        <v/>
      </c>
      <c r="K24" s="40" t="str">
        <f aca="false">IF(AND(K$3&gt;=$C24,K$3&lt;=$D24),1,"")</f>
        <v/>
      </c>
      <c r="L24" s="40" t="str">
        <f aca="false">IF(AND(L$3&gt;=$C24,L$3&lt;=$D24),1,"")</f>
        <v/>
      </c>
      <c r="M24" s="40" t="n">
        <f aca="false">IF(AND(M$3&gt;=$C24,M$3&lt;=$D24),1,"")</f>
        <v>1</v>
      </c>
      <c r="N24" s="40" t="str">
        <f aca="false">IF(AND(N$3&gt;=$C24,N$3&lt;=$D24),1,"")</f>
        <v/>
      </c>
      <c r="O24" s="40" t="str">
        <f aca="false">IF(AND(O$3&gt;=$C24,O$3&lt;=$D24),1,"")</f>
        <v/>
      </c>
      <c r="P24" s="40" t="str">
        <f aca="false">IF(AND(P$3&gt;=$C24,P$3&lt;=$D24),1,"")</f>
        <v/>
      </c>
    </row>
    <row r="25" customFormat="false" ht="15" hidden="false" customHeight="false" outlineLevel="0" collapsed="false">
      <c r="A25" s="19"/>
      <c r="B25" s="38" t="s">
        <v>499</v>
      </c>
      <c r="C25" s="39" t="n">
        <v>9</v>
      </c>
      <c r="D25" s="39" t="n">
        <v>11</v>
      </c>
      <c r="E25" s="40" t="str">
        <f aca="false">IF(AND(E$3&gt;=$C25,E$3&lt;=$D25),1,"")</f>
        <v/>
      </c>
      <c r="F25" s="40" t="str">
        <f aca="false">IF(AND(F$3&gt;=$C25,F$3&lt;=$D25),1,"")</f>
        <v/>
      </c>
      <c r="G25" s="40" t="str">
        <f aca="false">IF(AND(G$3&gt;=$C25,G$3&lt;=$D25),1,"")</f>
        <v/>
      </c>
      <c r="H25" s="40" t="str">
        <f aca="false">IF(AND(H$3&gt;=$C25,H$3&lt;=$D25),1,"")</f>
        <v/>
      </c>
      <c r="I25" s="40" t="str">
        <f aca="false">IF(AND(I$3&gt;=$C25,I$3&lt;=$D25),1,"")</f>
        <v/>
      </c>
      <c r="J25" s="40" t="str">
        <f aca="false">IF(AND(J$3&gt;=$C25,J$3&lt;=$D25),1,"")</f>
        <v/>
      </c>
      <c r="K25" s="40" t="str">
        <f aca="false">IF(AND(K$3&gt;=$C25,K$3&lt;=$D25),1,"")</f>
        <v/>
      </c>
      <c r="L25" s="40" t="str">
        <f aca="false">IF(AND(L$3&gt;=$C25,L$3&lt;=$D25),1,"")</f>
        <v/>
      </c>
      <c r="M25" s="40" t="n">
        <f aca="false">IF(AND(M$3&gt;=$C25,M$3&lt;=$D25),1,"")</f>
        <v>1</v>
      </c>
      <c r="N25" s="40" t="n">
        <f aca="false">IF(AND(N$3&gt;=$C25,N$3&lt;=$D25),1,"")</f>
        <v>1</v>
      </c>
      <c r="O25" s="40" t="n">
        <f aca="false">IF(AND(O$3&gt;=$C25,O$3&lt;=$D25),1,"")</f>
        <v>1</v>
      </c>
      <c r="P25" s="40" t="str">
        <f aca="false">IF(AND(P$3&gt;=$C25,P$3&lt;=$D25),1,"")</f>
        <v/>
      </c>
    </row>
    <row r="26" customFormat="false" ht="15" hidden="false" customHeight="false" outlineLevel="0" collapsed="false">
      <c r="A26" s="19"/>
      <c r="B26" s="38" t="s">
        <v>500</v>
      </c>
      <c r="C26" s="39" t="n">
        <v>10</v>
      </c>
      <c r="D26" s="39" t="n">
        <v>10</v>
      </c>
      <c r="E26" s="40" t="str">
        <f aca="false">IF(AND(E$3&gt;=$C26,E$3&lt;=$D26),1,"")</f>
        <v/>
      </c>
      <c r="F26" s="40" t="str">
        <f aca="false">IF(AND(F$3&gt;=$C26,F$3&lt;=$D26),1,"")</f>
        <v/>
      </c>
      <c r="G26" s="40" t="str">
        <f aca="false">IF(AND(G$3&gt;=$C26,G$3&lt;=$D26),1,"")</f>
        <v/>
      </c>
      <c r="H26" s="40" t="str">
        <f aca="false">IF(AND(H$3&gt;=$C26,H$3&lt;=$D26),1,"")</f>
        <v/>
      </c>
      <c r="I26" s="40" t="str">
        <f aca="false">IF(AND(I$3&gt;=$C26,I$3&lt;=$D26),1,"")</f>
        <v/>
      </c>
      <c r="J26" s="40" t="str">
        <f aca="false">IF(AND(J$3&gt;=$C26,J$3&lt;=$D26),1,"")</f>
        <v/>
      </c>
      <c r="K26" s="40" t="str">
        <f aca="false">IF(AND(K$3&gt;=$C26,K$3&lt;=$D26),1,"")</f>
        <v/>
      </c>
      <c r="L26" s="40" t="str">
        <f aca="false">IF(AND(L$3&gt;=$C26,L$3&lt;=$D26),1,"")</f>
        <v/>
      </c>
      <c r="M26" s="40" t="str">
        <f aca="false">IF(AND(M$3&gt;=$C26,M$3&lt;=$D26),1,"")</f>
        <v/>
      </c>
      <c r="N26" s="40" t="n">
        <f aca="false">IF(AND(N$3&gt;=$C26,N$3&lt;=$D26),1,"")</f>
        <v>1</v>
      </c>
      <c r="O26" s="40" t="str">
        <f aca="false">IF(AND(O$3&gt;=$C26,O$3&lt;=$D26),1,"")</f>
        <v/>
      </c>
      <c r="P26" s="40" t="str">
        <f aca="false">IF(AND(P$3&gt;=$C26,P$3&lt;=$D26),1,"")</f>
        <v/>
      </c>
    </row>
    <row r="27" customFormat="false" ht="15" hidden="false" customHeight="false" outlineLevel="0" collapsed="false">
      <c r="A27" s="19"/>
      <c r="B27" s="38" t="s">
        <v>501</v>
      </c>
      <c r="C27" s="39" t="n">
        <v>10</v>
      </c>
      <c r="D27" s="39" t="n">
        <v>10</v>
      </c>
      <c r="E27" s="40" t="str">
        <f aca="false">IF(AND(E$3&gt;=$C27,E$3&lt;=$D27),1,"")</f>
        <v/>
      </c>
      <c r="F27" s="40" t="str">
        <f aca="false">IF(AND(F$3&gt;=$C27,F$3&lt;=$D27),1,"")</f>
        <v/>
      </c>
      <c r="G27" s="40" t="str">
        <f aca="false">IF(AND(G$3&gt;=$C27,G$3&lt;=$D27),1,"")</f>
        <v/>
      </c>
      <c r="H27" s="40" t="str">
        <f aca="false">IF(AND(H$3&gt;=$C27,H$3&lt;=$D27),1,"")</f>
        <v/>
      </c>
      <c r="I27" s="40" t="str">
        <f aca="false">IF(AND(I$3&gt;=$C27,I$3&lt;=$D27),1,"")</f>
        <v/>
      </c>
      <c r="J27" s="40" t="str">
        <f aca="false">IF(AND(J$3&gt;=$C27,J$3&lt;=$D27),1,"")</f>
        <v/>
      </c>
      <c r="K27" s="40" t="str">
        <f aca="false">IF(AND(K$3&gt;=$C27,K$3&lt;=$D27),1,"")</f>
        <v/>
      </c>
      <c r="L27" s="40" t="str">
        <f aca="false">IF(AND(L$3&gt;=$C27,L$3&lt;=$D27),1,"")</f>
        <v/>
      </c>
      <c r="M27" s="40" t="str">
        <f aca="false">IF(AND(M$3&gt;=$C27,M$3&lt;=$D27),1,"")</f>
        <v/>
      </c>
      <c r="N27" s="40" t="n">
        <f aca="false">IF(AND(N$3&gt;=$C27,N$3&lt;=$D27),1,"")</f>
        <v>1</v>
      </c>
      <c r="O27" s="40" t="str">
        <f aca="false">IF(AND(O$3&gt;=$C27,O$3&lt;=$D27),1,"")</f>
        <v/>
      </c>
      <c r="P27" s="40" t="str">
        <f aca="false">IF(AND(P$3&gt;=$C27,P$3&lt;=$D27),1,"")</f>
        <v/>
      </c>
    </row>
    <row r="28" customFormat="false" ht="15" hidden="false" customHeight="false" outlineLevel="0" collapsed="false">
      <c r="A28" s="19"/>
      <c r="B28" s="38" t="s">
        <v>502</v>
      </c>
      <c r="C28" s="39" t="n">
        <v>12</v>
      </c>
      <c r="D28" s="39" t="n">
        <v>12</v>
      </c>
      <c r="E28" s="40" t="str">
        <f aca="false">IF(AND(E$3&gt;=$C28,E$3&lt;=$D28),1,"")</f>
        <v/>
      </c>
      <c r="F28" s="40" t="str">
        <f aca="false">IF(AND(F$3&gt;=$C28,F$3&lt;=$D28),1,"")</f>
        <v/>
      </c>
      <c r="G28" s="40" t="str">
        <f aca="false">IF(AND(G$3&gt;=$C28,G$3&lt;=$D28),1,"")</f>
        <v/>
      </c>
      <c r="H28" s="40" t="str">
        <f aca="false">IF(AND(H$3&gt;=$C28,H$3&lt;=$D28),1,"")</f>
        <v/>
      </c>
      <c r="I28" s="40" t="str">
        <f aca="false">IF(AND(I$3&gt;=$C28,I$3&lt;=$D28),1,"")</f>
        <v/>
      </c>
      <c r="J28" s="40" t="str">
        <f aca="false">IF(AND(J$3&gt;=$C28,J$3&lt;=$D28),1,"")</f>
        <v/>
      </c>
      <c r="K28" s="40" t="str">
        <f aca="false">IF(AND(K$3&gt;=$C28,K$3&lt;=$D28),1,"")</f>
        <v/>
      </c>
      <c r="L28" s="40" t="str">
        <f aca="false">IF(AND(L$3&gt;=$C28,L$3&lt;=$D28),1,"")</f>
        <v/>
      </c>
      <c r="M28" s="40" t="str">
        <f aca="false">IF(AND(M$3&gt;=$C28,M$3&lt;=$D28),1,"")</f>
        <v/>
      </c>
      <c r="N28" s="40" t="str">
        <f aca="false">IF(AND(N$3&gt;=$C28,N$3&lt;=$D28),1,"")</f>
        <v/>
      </c>
      <c r="O28" s="40" t="str">
        <f aca="false">IF(AND(O$3&gt;=$C28,O$3&lt;=$D28),1,"")</f>
        <v/>
      </c>
      <c r="P28" s="40" t="n">
        <f aca="false">IF(AND(P$3&gt;=$C28,P$3&lt;=$D28),1,"")</f>
        <v>1</v>
      </c>
    </row>
    <row r="29" customFormat="false" ht="15" hidden="false" customHeight="false" outlineLevel="0" collapsed="false">
      <c r="A29" s="20" t="s">
        <v>46</v>
      </c>
      <c r="B29" s="38" t="s">
        <v>503</v>
      </c>
      <c r="C29" s="39" t="n">
        <v>4</v>
      </c>
      <c r="D29" s="39" t="n">
        <v>5</v>
      </c>
      <c r="E29" s="40" t="str">
        <f aca="false">IF(AND(E$3&gt;=$C29,E$3&lt;=$D29),1,"")</f>
        <v/>
      </c>
      <c r="F29" s="40" t="str">
        <f aca="false">IF(AND(F$3&gt;=$C29,F$3&lt;=$D29),1,"")</f>
        <v/>
      </c>
      <c r="G29" s="40" t="str">
        <f aca="false">IF(AND(G$3&gt;=$C29,G$3&lt;=$D29),1,"")</f>
        <v/>
      </c>
      <c r="H29" s="40" t="n">
        <f aca="false">IF(AND(H$3&gt;=$C29,H$3&lt;=$D29),1,"")</f>
        <v>1</v>
      </c>
      <c r="I29" s="40" t="n">
        <f aca="false">IF(AND(I$3&gt;=$C29,I$3&lt;=$D29),1,"")</f>
        <v>1</v>
      </c>
      <c r="J29" s="40" t="str">
        <f aca="false">IF(AND(J$3&gt;=$C29,J$3&lt;=$D29),1,"")</f>
        <v/>
      </c>
      <c r="K29" s="40" t="str">
        <f aca="false">IF(AND(K$3&gt;=$C29,K$3&lt;=$D29),1,"")</f>
        <v/>
      </c>
      <c r="L29" s="40" t="str">
        <f aca="false">IF(AND(L$3&gt;=$C29,L$3&lt;=$D29),1,"")</f>
        <v/>
      </c>
      <c r="M29" s="40" t="str">
        <f aca="false">IF(AND(M$3&gt;=$C29,M$3&lt;=$D29),1,"")</f>
        <v/>
      </c>
      <c r="N29" s="40" t="str">
        <f aca="false">IF(AND(N$3&gt;=$C29,N$3&lt;=$D29),1,"")</f>
        <v/>
      </c>
      <c r="O29" s="40" t="str">
        <f aca="false">IF(AND(O$3&gt;=$C29,O$3&lt;=$D29),1,"")</f>
        <v/>
      </c>
      <c r="P29" s="40" t="str">
        <f aca="false">IF(AND(P$3&gt;=$C29,P$3&lt;=$D29),1,"")</f>
        <v/>
      </c>
    </row>
    <row r="30" customFormat="false" ht="15" hidden="false" customHeight="false" outlineLevel="0" collapsed="false">
      <c r="A30" s="20"/>
      <c r="B30" s="38" t="s">
        <v>504</v>
      </c>
      <c r="C30" s="39" t="n">
        <v>4</v>
      </c>
      <c r="D30" s="39" t="n">
        <v>5</v>
      </c>
      <c r="E30" s="40" t="str">
        <f aca="false">IF(AND(E$3&gt;=$C30,E$3&lt;=$D30),1,"")</f>
        <v/>
      </c>
      <c r="F30" s="40" t="str">
        <f aca="false">IF(AND(F$3&gt;=$C30,F$3&lt;=$D30),1,"")</f>
        <v/>
      </c>
      <c r="G30" s="40" t="str">
        <f aca="false">IF(AND(G$3&gt;=$C30,G$3&lt;=$D30),1,"")</f>
        <v/>
      </c>
      <c r="H30" s="40" t="n">
        <f aca="false">IF(AND(H$3&gt;=$C30,H$3&lt;=$D30),1,"")</f>
        <v>1</v>
      </c>
      <c r="I30" s="40" t="n">
        <f aca="false">IF(AND(I$3&gt;=$C30,I$3&lt;=$D30),1,"")</f>
        <v>1</v>
      </c>
      <c r="J30" s="40" t="str">
        <f aca="false">IF(AND(J$3&gt;=$C30,J$3&lt;=$D30),1,"")</f>
        <v/>
      </c>
      <c r="K30" s="40" t="str">
        <f aca="false">IF(AND(K$3&gt;=$C30,K$3&lt;=$D30),1,"")</f>
        <v/>
      </c>
      <c r="L30" s="40" t="str">
        <f aca="false">IF(AND(L$3&gt;=$C30,L$3&lt;=$D30),1,"")</f>
        <v/>
      </c>
      <c r="M30" s="40" t="str">
        <f aca="false">IF(AND(M$3&gt;=$C30,M$3&lt;=$D30),1,"")</f>
        <v/>
      </c>
      <c r="N30" s="40" t="str">
        <f aca="false">IF(AND(N$3&gt;=$C30,N$3&lt;=$D30),1,"")</f>
        <v/>
      </c>
      <c r="O30" s="40" t="str">
        <f aca="false">IF(AND(O$3&gt;=$C30,O$3&lt;=$D30),1,"")</f>
        <v/>
      </c>
      <c r="P30" s="40" t="str">
        <f aca="false">IF(AND(P$3&gt;=$C30,P$3&lt;=$D30),1,"")</f>
        <v/>
      </c>
    </row>
    <row r="31" customFormat="false" ht="15" hidden="false" customHeight="false" outlineLevel="0" collapsed="false">
      <c r="A31" s="20"/>
      <c r="B31" s="38" t="s">
        <v>505</v>
      </c>
      <c r="C31" s="39" t="n">
        <v>4</v>
      </c>
      <c r="D31" s="39" t="n">
        <v>5</v>
      </c>
      <c r="E31" s="40" t="str">
        <f aca="false">IF(AND(E$3&gt;=$C31,E$3&lt;=$D31),1,"")</f>
        <v/>
      </c>
      <c r="F31" s="40" t="str">
        <f aca="false">IF(AND(F$3&gt;=$C31,F$3&lt;=$D31),1,"")</f>
        <v/>
      </c>
      <c r="G31" s="40" t="str">
        <f aca="false">IF(AND(G$3&gt;=$C31,G$3&lt;=$D31),1,"")</f>
        <v/>
      </c>
      <c r="H31" s="40" t="n">
        <f aca="false">IF(AND(H$3&gt;=$C31,H$3&lt;=$D31),1,"")</f>
        <v>1</v>
      </c>
      <c r="I31" s="40" t="n">
        <f aca="false">IF(AND(I$3&gt;=$C31,I$3&lt;=$D31),1,"")</f>
        <v>1</v>
      </c>
      <c r="J31" s="40" t="str">
        <f aca="false">IF(AND(J$3&gt;=$C31,J$3&lt;=$D31),1,"")</f>
        <v/>
      </c>
      <c r="K31" s="40" t="str">
        <f aca="false">IF(AND(K$3&gt;=$C31,K$3&lt;=$D31),1,"")</f>
        <v/>
      </c>
      <c r="L31" s="40" t="str">
        <f aca="false">IF(AND(L$3&gt;=$C31,L$3&lt;=$D31),1,"")</f>
        <v/>
      </c>
      <c r="M31" s="40" t="str">
        <f aca="false">IF(AND(M$3&gt;=$C31,M$3&lt;=$D31),1,"")</f>
        <v/>
      </c>
      <c r="N31" s="40" t="str">
        <f aca="false">IF(AND(N$3&gt;=$C31,N$3&lt;=$D31),1,"")</f>
        <v/>
      </c>
      <c r="O31" s="40" t="str">
        <f aca="false">IF(AND(O$3&gt;=$C31,O$3&lt;=$D31),1,"")</f>
        <v/>
      </c>
      <c r="P31" s="40" t="str">
        <f aca="false">IF(AND(P$3&gt;=$C31,P$3&lt;=$D31),1,"")</f>
        <v/>
      </c>
    </row>
    <row r="32" customFormat="false" ht="15" hidden="false" customHeight="false" outlineLevel="0" collapsed="false">
      <c r="A32" s="20"/>
      <c r="B32" s="38" t="s">
        <v>506</v>
      </c>
      <c r="C32" s="39" t="n">
        <v>6</v>
      </c>
      <c r="D32" s="39" t="n">
        <v>6</v>
      </c>
      <c r="E32" s="40" t="str">
        <f aca="false">IF(AND(E$3&gt;=$C32,E$3&lt;=$D32),1,"")</f>
        <v/>
      </c>
      <c r="F32" s="40" t="str">
        <f aca="false">IF(AND(F$3&gt;=$C32,F$3&lt;=$D32),1,"")</f>
        <v/>
      </c>
      <c r="G32" s="40" t="str">
        <f aca="false">IF(AND(G$3&gt;=$C32,G$3&lt;=$D32),1,"")</f>
        <v/>
      </c>
      <c r="H32" s="40" t="str">
        <f aca="false">IF(AND(H$3&gt;=$C32,H$3&lt;=$D32),1,"")</f>
        <v/>
      </c>
      <c r="I32" s="40" t="str">
        <f aca="false">IF(AND(I$3&gt;=$C32,I$3&lt;=$D32),1,"")</f>
        <v/>
      </c>
      <c r="J32" s="40" t="n">
        <f aca="false">IF(AND(J$3&gt;=$C32,J$3&lt;=$D32),1,"")</f>
        <v>1</v>
      </c>
      <c r="K32" s="40" t="str">
        <f aca="false">IF(AND(K$3&gt;=$C32,K$3&lt;=$D32),1,"")</f>
        <v/>
      </c>
      <c r="L32" s="40" t="str">
        <f aca="false">IF(AND(L$3&gt;=$C32,L$3&lt;=$D32),1,"")</f>
        <v/>
      </c>
      <c r="M32" s="40" t="str">
        <f aca="false">IF(AND(M$3&gt;=$C32,M$3&lt;=$D32),1,"")</f>
        <v/>
      </c>
      <c r="N32" s="40" t="str">
        <f aca="false">IF(AND(N$3&gt;=$C32,N$3&lt;=$D32),1,"")</f>
        <v/>
      </c>
      <c r="O32" s="40" t="str">
        <f aca="false">IF(AND(O$3&gt;=$C32,O$3&lt;=$D32),1,"")</f>
        <v/>
      </c>
      <c r="P32" s="40" t="str">
        <f aca="false">IF(AND(P$3&gt;=$C32,P$3&lt;=$D32),1,"")</f>
        <v/>
      </c>
    </row>
    <row r="33" customFormat="false" ht="15" hidden="false" customHeight="false" outlineLevel="0" collapsed="false">
      <c r="A33" s="20"/>
      <c r="B33" s="38" t="s">
        <v>507</v>
      </c>
      <c r="C33" s="39" t="n">
        <v>6</v>
      </c>
      <c r="D33" s="39" t="n">
        <v>6</v>
      </c>
      <c r="E33" s="40" t="str">
        <f aca="false">IF(AND(E$3&gt;=$C33,E$3&lt;=$D33),1,"")</f>
        <v/>
      </c>
      <c r="F33" s="40" t="str">
        <f aca="false">IF(AND(F$3&gt;=$C33,F$3&lt;=$D33),1,"")</f>
        <v/>
      </c>
      <c r="G33" s="40" t="str">
        <f aca="false">IF(AND(G$3&gt;=$C33,G$3&lt;=$D33),1,"")</f>
        <v/>
      </c>
      <c r="H33" s="40" t="str">
        <f aca="false">IF(AND(H$3&gt;=$C33,H$3&lt;=$D33),1,"")</f>
        <v/>
      </c>
      <c r="I33" s="40" t="str">
        <f aca="false">IF(AND(I$3&gt;=$C33,I$3&lt;=$D33),1,"")</f>
        <v/>
      </c>
      <c r="J33" s="40" t="n">
        <f aca="false">IF(AND(J$3&gt;=$C33,J$3&lt;=$D33),1,"")</f>
        <v>1</v>
      </c>
      <c r="K33" s="40" t="str">
        <f aca="false">IF(AND(K$3&gt;=$C33,K$3&lt;=$D33),1,"")</f>
        <v/>
      </c>
      <c r="L33" s="40" t="str">
        <f aca="false">IF(AND(L$3&gt;=$C33,L$3&lt;=$D33),1,"")</f>
        <v/>
      </c>
      <c r="M33" s="40" t="str">
        <f aca="false">IF(AND(M$3&gt;=$C33,M$3&lt;=$D33),1,"")</f>
        <v/>
      </c>
      <c r="N33" s="40" t="str">
        <f aca="false">IF(AND(N$3&gt;=$C33,N$3&lt;=$D33),1,"")</f>
        <v/>
      </c>
      <c r="O33" s="40" t="str">
        <f aca="false">IF(AND(O$3&gt;=$C33,O$3&lt;=$D33),1,"")</f>
        <v/>
      </c>
      <c r="P33" s="40" t="str">
        <f aca="false">IF(AND(P$3&gt;=$C33,P$3&lt;=$D33),1,"")</f>
        <v/>
      </c>
    </row>
    <row r="34" customFormat="false" ht="15" hidden="false" customHeight="false" outlineLevel="0" collapsed="false">
      <c r="A34" s="20"/>
      <c r="B34" s="38" t="s">
        <v>508</v>
      </c>
      <c r="C34" s="39" t="n">
        <v>6</v>
      </c>
      <c r="D34" s="39" t="n">
        <v>6</v>
      </c>
      <c r="E34" s="40" t="str">
        <f aca="false">IF(AND(E$3&gt;=$C34,E$3&lt;=$D34),1,"")</f>
        <v/>
      </c>
      <c r="F34" s="40" t="str">
        <f aca="false">IF(AND(F$3&gt;=$C34,F$3&lt;=$D34),1,"")</f>
        <v/>
      </c>
      <c r="G34" s="40" t="str">
        <f aca="false">IF(AND(G$3&gt;=$C34,G$3&lt;=$D34),1,"")</f>
        <v/>
      </c>
      <c r="H34" s="40" t="str">
        <f aca="false">IF(AND(H$3&gt;=$C34,H$3&lt;=$D34),1,"")</f>
        <v/>
      </c>
      <c r="I34" s="40" t="str">
        <f aca="false">IF(AND(I$3&gt;=$C34,I$3&lt;=$D34),1,"")</f>
        <v/>
      </c>
      <c r="J34" s="40" t="n">
        <f aca="false">IF(AND(J$3&gt;=$C34,J$3&lt;=$D34),1,"")</f>
        <v>1</v>
      </c>
      <c r="K34" s="40" t="str">
        <f aca="false">IF(AND(K$3&gt;=$C34,K$3&lt;=$D34),1,"")</f>
        <v/>
      </c>
      <c r="L34" s="40" t="str">
        <f aca="false">IF(AND(L$3&gt;=$C34,L$3&lt;=$D34),1,"")</f>
        <v/>
      </c>
      <c r="M34" s="40" t="str">
        <f aca="false">IF(AND(M$3&gt;=$C34,M$3&lt;=$D34),1,"")</f>
        <v/>
      </c>
      <c r="N34" s="40" t="str">
        <f aca="false">IF(AND(N$3&gt;=$C34,N$3&lt;=$D34),1,"")</f>
        <v/>
      </c>
      <c r="O34" s="40" t="str">
        <f aca="false">IF(AND(O$3&gt;=$C34,O$3&lt;=$D34),1,"")</f>
        <v/>
      </c>
      <c r="P34" s="40" t="str">
        <f aca="false">IF(AND(P$3&gt;=$C34,P$3&lt;=$D34),1,"")</f>
        <v/>
      </c>
    </row>
    <row r="35" customFormat="false" ht="15" hidden="false" customHeight="false" outlineLevel="0" collapsed="false">
      <c r="A35" s="20"/>
      <c r="B35" s="38" t="s">
        <v>509</v>
      </c>
      <c r="C35" s="39" t="n">
        <v>8</v>
      </c>
      <c r="D35" s="39" t="n">
        <v>8</v>
      </c>
      <c r="E35" s="40" t="str">
        <f aca="false">IF(AND(E$3&gt;=$C35,E$3&lt;=$D35),1,"")</f>
        <v/>
      </c>
      <c r="F35" s="40" t="str">
        <f aca="false">IF(AND(F$3&gt;=$C35,F$3&lt;=$D35),1,"")</f>
        <v/>
      </c>
      <c r="G35" s="40" t="str">
        <f aca="false">IF(AND(G$3&gt;=$C35,G$3&lt;=$D35),1,"")</f>
        <v/>
      </c>
      <c r="H35" s="40" t="str">
        <f aca="false">IF(AND(H$3&gt;=$C35,H$3&lt;=$D35),1,"")</f>
        <v/>
      </c>
      <c r="I35" s="40" t="str">
        <f aca="false">IF(AND(I$3&gt;=$C35,I$3&lt;=$D35),1,"")</f>
        <v/>
      </c>
      <c r="J35" s="40" t="str">
        <f aca="false">IF(AND(J$3&gt;=$C35,J$3&lt;=$D35),1,"")</f>
        <v/>
      </c>
      <c r="K35" s="40" t="str">
        <f aca="false">IF(AND(K$3&gt;=$C35,K$3&lt;=$D35),1,"")</f>
        <v/>
      </c>
      <c r="L35" s="40" t="n">
        <f aca="false">IF(AND(L$3&gt;=$C35,L$3&lt;=$D35),1,"")</f>
        <v>1</v>
      </c>
      <c r="M35" s="40" t="str">
        <f aca="false">IF(AND(M$3&gt;=$C35,M$3&lt;=$D35),1,"")</f>
        <v/>
      </c>
      <c r="N35" s="40" t="str">
        <f aca="false">IF(AND(N$3&gt;=$C35,N$3&lt;=$D35),1,"")</f>
        <v/>
      </c>
      <c r="O35" s="40" t="str">
        <f aca="false">IF(AND(O$3&gt;=$C35,O$3&lt;=$D35),1,"")</f>
        <v/>
      </c>
      <c r="P35" s="40" t="str">
        <f aca="false">IF(AND(P$3&gt;=$C35,P$3&lt;=$D35),1,"")</f>
        <v/>
      </c>
    </row>
    <row r="36" customFormat="false" ht="15" hidden="false" customHeight="false" outlineLevel="0" collapsed="false">
      <c r="A36" s="20"/>
      <c r="B36" s="38" t="s">
        <v>510</v>
      </c>
      <c r="C36" s="39" t="n">
        <v>9</v>
      </c>
      <c r="D36" s="39" t="n">
        <v>9</v>
      </c>
      <c r="E36" s="40" t="str">
        <f aca="false">IF(AND(E$3&gt;=$C36,E$3&lt;=$D36),1,"")</f>
        <v/>
      </c>
      <c r="F36" s="40" t="str">
        <f aca="false">IF(AND(F$3&gt;=$C36,F$3&lt;=$D36),1,"")</f>
        <v/>
      </c>
      <c r="G36" s="40" t="str">
        <f aca="false">IF(AND(G$3&gt;=$C36,G$3&lt;=$D36),1,"")</f>
        <v/>
      </c>
      <c r="H36" s="40" t="str">
        <f aca="false">IF(AND(H$3&gt;=$C36,H$3&lt;=$D36),1,"")</f>
        <v/>
      </c>
      <c r="I36" s="40" t="str">
        <f aca="false">IF(AND(I$3&gt;=$C36,I$3&lt;=$D36),1,"")</f>
        <v/>
      </c>
      <c r="J36" s="40" t="str">
        <f aca="false">IF(AND(J$3&gt;=$C36,J$3&lt;=$D36),1,"")</f>
        <v/>
      </c>
      <c r="K36" s="40" t="str">
        <f aca="false">IF(AND(K$3&gt;=$C36,K$3&lt;=$D36),1,"")</f>
        <v/>
      </c>
      <c r="L36" s="40" t="str">
        <f aca="false">IF(AND(L$3&gt;=$C36,L$3&lt;=$D36),1,"")</f>
        <v/>
      </c>
      <c r="M36" s="40" t="n">
        <f aca="false">IF(AND(M$3&gt;=$C36,M$3&lt;=$D36),1,"")</f>
        <v>1</v>
      </c>
      <c r="N36" s="40" t="str">
        <f aca="false">IF(AND(N$3&gt;=$C36,N$3&lt;=$D36),1,"")</f>
        <v/>
      </c>
      <c r="O36" s="40" t="str">
        <f aca="false">IF(AND(O$3&gt;=$C36,O$3&lt;=$D36),1,"")</f>
        <v/>
      </c>
      <c r="P36" s="40" t="str">
        <f aca="false">IF(AND(P$3&gt;=$C36,P$3&lt;=$D36),1,"")</f>
        <v/>
      </c>
    </row>
    <row r="37" customFormat="false" ht="15" hidden="false" customHeight="false" outlineLevel="0" collapsed="false">
      <c r="A37" s="20"/>
      <c r="B37" s="38" t="s">
        <v>511</v>
      </c>
      <c r="C37" s="39" t="n">
        <v>11</v>
      </c>
      <c r="D37" s="39" t="n">
        <v>12</v>
      </c>
      <c r="E37" s="40" t="str">
        <f aca="false">IF(AND(E$3&gt;=$C37,E$3&lt;=$D37),1,"")</f>
        <v/>
      </c>
      <c r="F37" s="40" t="str">
        <f aca="false">IF(AND(F$3&gt;=$C37,F$3&lt;=$D37),1,"")</f>
        <v/>
      </c>
      <c r="G37" s="40" t="str">
        <f aca="false">IF(AND(G$3&gt;=$C37,G$3&lt;=$D37),1,"")</f>
        <v/>
      </c>
      <c r="H37" s="40" t="str">
        <f aca="false">IF(AND(H$3&gt;=$C37,H$3&lt;=$D37),1,"")</f>
        <v/>
      </c>
      <c r="I37" s="40" t="str">
        <f aca="false">IF(AND(I$3&gt;=$C37,I$3&lt;=$D37),1,"")</f>
        <v/>
      </c>
      <c r="J37" s="40" t="str">
        <f aca="false">IF(AND(J$3&gt;=$C37,J$3&lt;=$D37),1,"")</f>
        <v/>
      </c>
      <c r="K37" s="40" t="str">
        <f aca="false">IF(AND(K$3&gt;=$C37,K$3&lt;=$D37),1,"")</f>
        <v/>
      </c>
      <c r="L37" s="40" t="str">
        <f aca="false">IF(AND(L$3&gt;=$C37,L$3&lt;=$D37),1,"")</f>
        <v/>
      </c>
      <c r="M37" s="40" t="str">
        <f aca="false">IF(AND(M$3&gt;=$C37,M$3&lt;=$D37),1,"")</f>
        <v/>
      </c>
      <c r="N37" s="40" t="str">
        <f aca="false">IF(AND(N$3&gt;=$C37,N$3&lt;=$D37),1,"")</f>
        <v/>
      </c>
      <c r="O37" s="40" t="n">
        <f aca="false">IF(AND(O$3&gt;=$C37,O$3&lt;=$D37),1,"")</f>
        <v>1</v>
      </c>
      <c r="P37" s="40" t="n">
        <f aca="false">IF(AND(P$3&gt;=$C37,P$3&lt;=$D37),1,"")</f>
        <v>1</v>
      </c>
    </row>
    <row r="38" customFormat="false" ht="15" hidden="false" customHeight="false" outlineLevel="0" collapsed="false">
      <c r="A38" s="20"/>
      <c r="B38" s="38" t="s">
        <v>512</v>
      </c>
      <c r="C38" s="39" t="n">
        <v>12</v>
      </c>
      <c r="D38" s="39" t="n">
        <v>12</v>
      </c>
      <c r="E38" s="40" t="str">
        <f aca="false">IF(AND(E$3&gt;=$C38,E$3&lt;=$D38),1,"")</f>
        <v/>
      </c>
      <c r="F38" s="40" t="str">
        <f aca="false">IF(AND(F$3&gt;=$C38,F$3&lt;=$D38),1,"")</f>
        <v/>
      </c>
      <c r="G38" s="40" t="str">
        <f aca="false">IF(AND(G$3&gt;=$C38,G$3&lt;=$D38),1,"")</f>
        <v/>
      </c>
      <c r="H38" s="40" t="str">
        <f aca="false">IF(AND(H$3&gt;=$C38,H$3&lt;=$D38),1,"")</f>
        <v/>
      </c>
      <c r="I38" s="40" t="str">
        <f aca="false">IF(AND(I$3&gt;=$C38,I$3&lt;=$D38),1,"")</f>
        <v/>
      </c>
      <c r="J38" s="40" t="str">
        <f aca="false">IF(AND(J$3&gt;=$C38,J$3&lt;=$D38),1,"")</f>
        <v/>
      </c>
      <c r="K38" s="40" t="str">
        <f aca="false">IF(AND(K$3&gt;=$C38,K$3&lt;=$D38),1,"")</f>
        <v/>
      </c>
      <c r="L38" s="40" t="str">
        <f aca="false">IF(AND(L$3&gt;=$C38,L$3&lt;=$D38),1,"")</f>
        <v/>
      </c>
      <c r="M38" s="40" t="str">
        <f aca="false">IF(AND(M$3&gt;=$C38,M$3&lt;=$D38),1,"")</f>
        <v/>
      </c>
      <c r="N38" s="40" t="str">
        <f aca="false">IF(AND(N$3&gt;=$C38,N$3&lt;=$D38),1,"")</f>
        <v/>
      </c>
      <c r="O38" s="40" t="str">
        <f aca="false">IF(AND(O$3&gt;=$C38,O$3&lt;=$D38),1,"")</f>
        <v/>
      </c>
      <c r="P38" s="40" t="n">
        <f aca="false">IF(AND(P$3&gt;=$C38,P$3&lt;=$D38),1,"")</f>
        <v>1</v>
      </c>
    </row>
    <row r="39" customFormat="false" ht="15" hidden="false" customHeight="false" outlineLevel="0" collapsed="false">
      <c r="A39" s="21" t="s">
        <v>49</v>
      </c>
      <c r="B39" s="38" t="s">
        <v>513</v>
      </c>
      <c r="C39" s="39" t="n">
        <v>1</v>
      </c>
      <c r="D39" s="39" t="n">
        <v>2</v>
      </c>
      <c r="E39" s="40" t="n">
        <f aca="false">IF(AND(E$3&gt;=$C39,E$3&lt;=$D39),1,"")</f>
        <v>1</v>
      </c>
      <c r="F39" s="40" t="n">
        <f aca="false">IF(AND(F$3&gt;=$C39,F$3&lt;=$D39),1,"")</f>
        <v>1</v>
      </c>
      <c r="G39" s="40" t="str">
        <f aca="false">IF(AND(G$3&gt;=$C39,G$3&lt;=$D39),1,"")</f>
        <v/>
      </c>
      <c r="H39" s="40" t="str">
        <f aca="false">IF(AND(H$3&gt;=$C39,H$3&lt;=$D39),1,"")</f>
        <v/>
      </c>
      <c r="I39" s="40" t="str">
        <f aca="false">IF(AND(I$3&gt;=$C39,I$3&lt;=$D39),1,"")</f>
        <v/>
      </c>
      <c r="J39" s="40" t="str">
        <f aca="false">IF(AND(J$3&gt;=$C39,J$3&lt;=$D39),1,"")</f>
        <v/>
      </c>
      <c r="K39" s="40" t="str">
        <f aca="false">IF(AND(K$3&gt;=$C39,K$3&lt;=$D39),1,"")</f>
        <v/>
      </c>
      <c r="L39" s="40" t="str">
        <f aca="false">IF(AND(L$3&gt;=$C39,L$3&lt;=$D39),1,"")</f>
        <v/>
      </c>
      <c r="M39" s="40" t="str">
        <f aca="false">IF(AND(M$3&gt;=$C39,M$3&lt;=$D39),1,"")</f>
        <v/>
      </c>
      <c r="N39" s="40" t="str">
        <f aca="false">IF(AND(N$3&gt;=$C39,N$3&lt;=$D39),1,"")</f>
        <v/>
      </c>
      <c r="O39" s="40" t="str">
        <f aca="false">IF(AND(O$3&gt;=$C39,O$3&lt;=$D39),1,"")</f>
        <v/>
      </c>
      <c r="P39" s="40" t="str">
        <f aca="false">IF(AND(P$3&gt;=$C39,P$3&lt;=$D39),1,"")</f>
        <v/>
      </c>
    </row>
    <row r="40" customFormat="false" ht="15" hidden="false" customHeight="false" outlineLevel="0" collapsed="false">
      <c r="A40" s="21"/>
      <c r="B40" s="38" t="s">
        <v>514</v>
      </c>
      <c r="C40" s="39" t="n">
        <v>2</v>
      </c>
      <c r="D40" s="39" t="n">
        <v>12</v>
      </c>
      <c r="E40" s="40" t="str">
        <f aca="false">IF(AND(E$3&gt;=$C40,E$3&lt;=$D40),1,"")</f>
        <v/>
      </c>
      <c r="F40" s="40" t="n">
        <f aca="false">IF(AND(F$3&gt;=$C40,F$3&lt;=$D40),1,"")</f>
        <v>1</v>
      </c>
      <c r="G40" s="40" t="n">
        <f aca="false">IF(AND(G$3&gt;=$C40,G$3&lt;=$D40),1,"")</f>
        <v>1</v>
      </c>
      <c r="H40" s="40" t="n">
        <f aca="false">IF(AND(H$3&gt;=$C40,H$3&lt;=$D40),1,"")</f>
        <v>1</v>
      </c>
      <c r="I40" s="40" t="n">
        <f aca="false">IF(AND(I$3&gt;=$C40,I$3&lt;=$D40),1,"")</f>
        <v>1</v>
      </c>
      <c r="J40" s="40" t="n">
        <f aca="false">IF(AND(J$3&gt;=$C40,J$3&lt;=$D40),1,"")</f>
        <v>1</v>
      </c>
      <c r="K40" s="40" t="n">
        <f aca="false">IF(AND(K$3&gt;=$C40,K$3&lt;=$D40),1,"")</f>
        <v>1</v>
      </c>
      <c r="L40" s="40" t="n">
        <f aca="false">IF(AND(L$3&gt;=$C40,L$3&lt;=$D40),1,"")</f>
        <v>1</v>
      </c>
      <c r="M40" s="40" t="n">
        <f aca="false">IF(AND(M$3&gt;=$C40,M$3&lt;=$D40),1,"")</f>
        <v>1</v>
      </c>
      <c r="N40" s="40" t="n">
        <f aca="false">IF(AND(N$3&gt;=$C40,N$3&lt;=$D40),1,"")</f>
        <v>1</v>
      </c>
      <c r="O40" s="40" t="n">
        <f aca="false">IF(AND(O$3&gt;=$C40,O$3&lt;=$D40),1,"")</f>
        <v>1</v>
      </c>
      <c r="P40" s="40" t="n">
        <f aca="false">IF(AND(P$3&gt;=$C40,P$3&lt;=$D40),1,"")</f>
        <v>1</v>
      </c>
    </row>
    <row r="41" customFormat="false" ht="15" hidden="false" customHeight="false" outlineLevel="0" collapsed="false">
      <c r="A41" s="21"/>
      <c r="B41" s="38" t="s">
        <v>515</v>
      </c>
      <c r="C41" s="39" t="n">
        <v>3</v>
      </c>
      <c r="D41" s="39" t="n">
        <v>3</v>
      </c>
      <c r="E41" s="40" t="str">
        <f aca="false">IF(AND(E$3&gt;=$C41,E$3&lt;=$D41),1,"")</f>
        <v/>
      </c>
      <c r="F41" s="40" t="str">
        <f aca="false">IF(AND(F$3&gt;=$C41,F$3&lt;=$D41),1,"")</f>
        <v/>
      </c>
      <c r="G41" s="40" t="n">
        <f aca="false">IF(AND(G$3&gt;=$C41,G$3&lt;=$D41),1,"")</f>
        <v>1</v>
      </c>
      <c r="H41" s="40" t="str">
        <f aca="false">IF(AND(H$3&gt;=$C41,H$3&lt;=$D41),1,"")</f>
        <v/>
      </c>
      <c r="I41" s="40" t="str">
        <f aca="false">IF(AND(I$3&gt;=$C41,I$3&lt;=$D41),1,"")</f>
        <v/>
      </c>
      <c r="J41" s="40" t="str">
        <f aca="false">IF(AND(J$3&gt;=$C41,J$3&lt;=$D41),1,"")</f>
        <v/>
      </c>
      <c r="K41" s="40" t="str">
        <f aca="false">IF(AND(K$3&gt;=$C41,K$3&lt;=$D41),1,"")</f>
        <v/>
      </c>
      <c r="L41" s="40" t="str">
        <f aca="false">IF(AND(L$3&gt;=$C41,L$3&lt;=$D41),1,"")</f>
        <v/>
      </c>
      <c r="M41" s="40" t="str">
        <f aca="false">IF(AND(M$3&gt;=$C41,M$3&lt;=$D41),1,"")</f>
        <v/>
      </c>
      <c r="N41" s="40" t="str">
        <f aca="false">IF(AND(N$3&gt;=$C41,N$3&lt;=$D41),1,"")</f>
        <v/>
      </c>
      <c r="O41" s="40" t="str">
        <f aca="false">IF(AND(O$3&gt;=$C41,O$3&lt;=$D41),1,"")</f>
        <v/>
      </c>
      <c r="P41" s="40" t="str">
        <f aca="false">IF(AND(P$3&gt;=$C41,P$3&lt;=$D41),1,"")</f>
        <v/>
      </c>
    </row>
    <row r="42" customFormat="false" ht="15" hidden="false" customHeight="false" outlineLevel="0" collapsed="false">
      <c r="A42" s="21"/>
      <c r="B42" s="38" t="s">
        <v>516</v>
      </c>
      <c r="C42" s="39" t="n">
        <v>3</v>
      </c>
      <c r="D42" s="39" t="n">
        <v>4</v>
      </c>
      <c r="E42" s="40" t="str">
        <f aca="false">IF(AND(E$3&gt;=$C42,E$3&lt;=$D42),1,"")</f>
        <v/>
      </c>
      <c r="F42" s="40" t="str">
        <f aca="false">IF(AND(F$3&gt;=$C42,F$3&lt;=$D42),1,"")</f>
        <v/>
      </c>
      <c r="G42" s="40" t="n">
        <f aca="false">IF(AND(G$3&gt;=$C42,G$3&lt;=$D42),1,"")</f>
        <v>1</v>
      </c>
      <c r="H42" s="40" t="n">
        <f aca="false">IF(AND(H$3&gt;=$C42,H$3&lt;=$D42),1,"")</f>
        <v>1</v>
      </c>
      <c r="I42" s="40" t="str">
        <f aca="false">IF(AND(I$3&gt;=$C42,I$3&lt;=$D42),1,"")</f>
        <v/>
      </c>
      <c r="J42" s="40" t="str">
        <f aca="false">IF(AND(J$3&gt;=$C42,J$3&lt;=$D42),1,"")</f>
        <v/>
      </c>
      <c r="K42" s="40" t="str">
        <f aca="false">IF(AND(K$3&gt;=$C42,K$3&lt;=$D42),1,"")</f>
        <v/>
      </c>
      <c r="L42" s="40" t="str">
        <f aca="false">IF(AND(L$3&gt;=$C42,L$3&lt;=$D42),1,"")</f>
        <v/>
      </c>
      <c r="M42" s="40" t="str">
        <f aca="false">IF(AND(M$3&gt;=$C42,M$3&lt;=$D42),1,"")</f>
        <v/>
      </c>
      <c r="N42" s="40" t="str">
        <f aca="false">IF(AND(N$3&gt;=$C42,N$3&lt;=$D42),1,"")</f>
        <v/>
      </c>
      <c r="O42" s="40" t="str">
        <f aca="false">IF(AND(O$3&gt;=$C42,O$3&lt;=$D42),1,"")</f>
        <v/>
      </c>
      <c r="P42" s="40" t="str">
        <f aca="false">IF(AND(P$3&gt;=$C42,P$3&lt;=$D42),1,"")</f>
        <v/>
      </c>
    </row>
    <row r="43" customFormat="false" ht="15" hidden="false" customHeight="false" outlineLevel="0" collapsed="false">
      <c r="A43" s="21"/>
      <c r="B43" s="38" t="s">
        <v>517</v>
      </c>
      <c r="C43" s="39" t="n">
        <v>5</v>
      </c>
      <c r="D43" s="39" t="n">
        <v>5</v>
      </c>
      <c r="E43" s="40" t="str">
        <f aca="false">IF(AND(E$3&gt;=$C43,E$3&lt;=$D43),1,"")</f>
        <v/>
      </c>
      <c r="F43" s="40" t="str">
        <f aca="false">IF(AND(F$3&gt;=$C43,F$3&lt;=$D43),1,"")</f>
        <v/>
      </c>
      <c r="G43" s="40" t="str">
        <f aca="false">IF(AND(G$3&gt;=$C43,G$3&lt;=$D43),1,"")</f>
        <v/>
      </c>
      <c r="H43" s="40" t="str">
        <f aca="false">IF(AND(H$3&gt;=$C43,H$3&lt;=$D43),1,"")</f>
        <v/>
      </c>
      <c r="I43" s="40" t="n">
        <f aca="false">IF(AND(I$3&gt;=$C43,I$3&lt;=$D43),1,"")</f>
        <v>1</v>
      </c>
      <c r="J43" s="40" t="str">
        <f aca="false">IF(AND(J$3&gt;=$C43,J$3&lt;=$D43),1,"")</f>
        <v/>
      </c>
      <c r="K43" s="40" t="str">
        <f aca="false">IF(AND(K$3&gt;=$C43,K$3&lt;=$D43),1,"")</f>
        <v/>
      </c>
      <c r="L43" s="40" t="str">
        <f aca="false">IF(AND(L$3&gt;=$C43,L$3&lt;=$D43),1,"")</f>
        <v/>
      </c>
      <c r="M43" s="40" t="str">
        <f aca="false">IF(AND(M$3&gt;=$C43,M$3&lt;=$D43),1,"")</f>
        <v/>
      </c>
      <c r="N43" s="40" t="str">
        <f aca="false">IF(AND(N$3&gt;=$C43,N$3&lt;=$D43),1,"")</f>
        <v/>
      </c>
      <c r="O43" s="40" t="str">
        <f aca="false">IF(AND(O$3&gt;=$C43,O$3&lt;=$D43),1,"")</f>
        <v/>
      </c>
      <c r="P43" s="40" t="str">
        <f aca="false">IF(AND(P$3&gt;=$C43,P$3&lt;=$D43),1,"")</f>
        <v/>
      </c>
    </row>
    <row r="44" customFormat="false" ht="15" hidden="false" customHeight="false" outlineLevel="0" collapsed="false">
      <c r="A44" s="21"/>
      <c r="B44" s="38" t="s">
        <v>518</v>
      </c>
      <c r="C44" s="39" t="n">
        <v>6</v>
      </c>
      <c r="D44" s="39" t="n">
        <v>6</v>
      </c>
      <c r="E44" s="40" t="str">
        <f aca="false">IF(AND(E$3&gt;=$C44,E$3&lt;=$D44),1,"")</f>
        <v/>
      </c>
      <c r="F44" s="40" t="str">
        <f aca="false">IF(AND(F$3&gt;=$C44,F$3&lt;=$D44),1,"")</f>
        <v/>
      </c>
      <c r="G44" s="40" t="str">
        <f aca="false">IF(AND(G$3&gt;=$C44,G$3&lt;=$D44),1,"")</f>
        <v/>
      </c>
      <c r="H44" s="40" t="str">
        <f aca="false">IF(AND(H$3&gt;=$C44,H$3&lt;=$D44),1,"")</f>
        <v/>
      </c>
      <c r="I44" s="40" t="str">
        <f aca="false">IF(AND(I$3&gt;=$C44,I$3&lt;=$D44),1,"")</f>
        <v/>
      </c>
      <c r="J44" s="40" t="n">
        <f aca="false">IF(AND(J$3&gt;=$C44,J$3&lt;=$D44),1,"")</f>
        <v>1</v>
      </c>
      <c r="K44" s="40" t="str">
        <f aca="false">IF(AND(K$3&gt;=$C44,K$3&lt;=$D44),1,"")</f>
        <v/>
      </c>
      <c r="L44" s="40" t="str">
        <f aca="false">IF(AND(L$3&gt;=$C44,L$3&lt;=$D44),1,"")</f>
        <v/>
      </c>
      <c r="M44" s="40" t="str">
        <f aca="false">IF(AND(M$3&gt;=$C44,M$3&lt;=$D44),1,"")</f>
        <v/>
      </c>
      <c r="N44" s="40" t="str">
        <f aca="false">IF(AND(N$3&gt;=$C44,N$3&lt;=$D44),1,"")</f>
        <v/>
      </c>
      <c r="O44" s="40" t="str">
        <f aca="false">IF(AND(O$3&gt;=$C44,O$3&lt;=$D44),1,"")</f>
        <v/>
      </c>
      <c r="P44" s="40" t="str">
        <f aca="false">IF(AND(P$3&gt;=$C44,P$3&lt;=$D44),1,"")</f>
        <v/>
      </c>
    </row>
    <row r="45" customFormat="false" ht="15" hidden="false" customHeight="false" outlineLevel="0" collapsed="false">
      <c r="A45" s="21"/>
      <c r="B45" s="38" t="s">
        <v>519</v>
      </c>
      <c r="C45" s="39" t="n">
        <v>7</v>
      </c>
      <c r="D45" s="39" t="n">
        <v>7</v>
      </c>
      <c r="E45" s="40" t="str">
        <f aca="false">IF(AND(E$3&gt;=$C45,E$3&lt;=$D45),1,"")</f>
        <v/>
      </c>
      <c r="F45" s="40" t="str">
        <f aca="false">IF(AND(F$3&gt;=$C45,F$3&lt;=$D45),1,"")</f>
        <v/>
      </c>
      <c r="G45" s="40" t="str">
        <f aca="false">IF(AND(G$3&gt;=$C45,G$3&lt;=$D45),1,"")</f>
        <v/>
      </c>
      <c r="H45" s="40" t="str">
        <f aca="false">IF(AND(H$3&gt;=$C45,H$3&lt;=$D45),1,"")</f>
        <v/>
      </c>
      <c r="I45" s="40" t="str">
        <f aca="false">IF(AND(I$3&gt;=$C45,I$3&lt;=$D45),1,"")</f>
        <v/>
      </c>
      <c r="J45" s="40" t="str">
        <f aca="false">IF(AND(J$3&gt;=$C45,J$3&lt;=$D45),1,"")</f>
        <v/>
      </c>
      <c r="K45" s="40" t="n">
        <f aca="false">IF(AND(K$3&gt;=$C45,K$3&lt;=$D45),1,"")</f>
        <v>1</v>
      </c>
      <c r="L45" s="40" t="str">
        <f aca="false">IF(AND(L$3&gt;=$C45,L$3&lt;=$D45),1,"")</f>
        <v/>
      </c>
      <c r="M45" s="40" t="str">
        <f aca="false">IF(AND(M$3&gt;=$C45,M$3&lt;=$D45),1,"")</f>
        <v/>
      </c>
      <c r="N45" s="40" t="str">
        <f aca="false">IF(AND(N$3&gt;=$C45,N$3&lt;=$D45),1,"")</f>
        <v/>
      </c>
      <c r="O45" s="40" t="str">
        <f aca="false">IF(AND(O$3&gt;=$C45,O$3&lt;=$D45),1,"")</f>
        <v/>
      </c>
      <c r="P45" s="40" t="str">
        <f aca="false">IF(AND(P$3&gt;=$C45,P$3&lt;=$D45),1,"")</f>
        <v/>
      </c>
    </row>
    <row r="46" customFormat="false" ht="15" hidden="false" customHeight="false" outlineLevel="0" collapsed="false">
      <c r="A46" s="21"/>
      <c r="B46" s="38" t="s">
        <v>520</v>
      </c>
      <c r="C46" s="39" t="n">
        <v>7</v>
      </c>
      <c r="D46" s="39" t="n">
        <v>8</v>
      </c>
      <c r="E46" s="40" t="str">
        <f aca="false">IF(AND(E$3&gt;=$C46,E$3&lt;=$D46),1,"")</f>
        <v/>
      </c>
      <c r="F46" s="40" t="str">
        <f aca="false">IF(AND(F$3&gt;=$C46,F$3&lt;=$D46),1,"")</f>
        <v/>
      </c>
      <c r="G46" s="40" t="str">
        <f aca="false">IF(AND(G$3&gt;=$C46,G$3&lt;=$D46),1,"")</f>
        <v/>
      </c>
      <c r="H46" s="40" t="str">
        <f aca="false">IF(AND(H$3&gt;=$C46,H$3&lt;=$D46),1,"")</f>
        <v/>
      </c>
      <c r="I46" s="40" t="str">
        <f aca="false">IF(AND(I$3&gt;=$C46,I$3&lt;=$D46),1,"")</f>
        <v/>
      </c>
      <c r="J46" s="40" t="str">
        <f aca="false">IF(AND(J$3&gt;=$C46,J$3&lt;=$D46),1,"")</f>
        <v/>
      </c>
      <c r="K46" s="40" t="n">
        <f aca="false">IF(AND(K$3&gt;=$C46,K$3&lt;=$D46),1,"")</f>
        <v>1</v>
      </c>
      <c r="L46" s="40" t="n">
        <f aca="false">IF(AND(L$3&gt;=$C46,L$3&lt;=$D46),1,"")</f>
        <v>1</v>
      </c>
      <c r="M46" s="40" t="str">
        <f aca="false">IF(AND(M$3&gt;=$C46,M$3&lt;=$D46),1,"")</f>
        <v/>
      </c>
      <c r="N46" s="40" t="str">
        <f aca="false">IF(AND(N$3&gt;=$C46,N$3&lt;=$D46),1,"")</f>
        <v/>
      </c>
      <c r="O46" s="40" t="str">
        <f aca="false">IF(AND(O$3&gt;=$C46,O$3&lt;=$D46),1,"")</f>
        <v/>
      </c>
      <c r="P46" s="40" t="str">
        <f aca="false">IF(AND(P$3&gt;=$C46,P$3&lt;=$D46),1,"")</f>
        <v/>
      </c>
    </row>
    <row r="47" customFormat="false" ht="15" hidden="false" customHeight="false" outlineLevel="0" collapsed="false">
      <c r="A47" s="21"/>
      <c r="B47" s="38" t="s">
        <v>521</v>
      </c>
      <c r="C47" s="39" t="n">
        <v>7</v>
      </c>
      <c r="D47" s="39" t="n">
        <v>11</v>
      </c>
      <c r="E47" s="40" t="str">
        <f aca="false">IF(AND(E$3&gt;=$C47,E$3&lt;=$D47),1,"")</f>
        <v/>
      </c>
      <c r="F47" s="40" t="str">
        <f aca="false">IF(AND(F$3&gt;=$C47,F$3&lt;=$D47),1,"")</f>
        <v/>
      </c>
      <c r="G47" s="40" t="str">
        <f aca="false">IF(AND(G$3&gt;=$C47,G$3&lt;=$D47),1,"")</f>
        <v/>
      </c>
      <c r="H47" s="40" t="str">
        <f aca="false">IF(AND(H$3&gt;=$C47,H$3&lt;=$D47),1,"")</f>
        <v/>
      </c>
      <c r="I47" s="40" t="str">
        <f aca="false">IF(AND(I$3&gt;=$C47,I$3&lt;=$D47),1,"")</f>
        <v/>
      </c>
      <c r="J47" s="40" t="str">
        <f aca="false">IF(AND(J$3&gt;=$C47,J$3&lt;=$D47),1,"")</f>
        <v/>
      </c>
      <c r="K47" s="40" t="n">
        <f aca="false">IF(AND(K$3&gt;=$C47,K$3&lt;=$D47),1,"")</f>
        <v>1</v>
      </c>
      <c r="L47" s="40" t="n">
        <f aca="false">IF(AND(L$3&gt;=$C47,L$3&lt;=$D47),1,"")</f>
        <v>1</v>
      </c>
      <c r="M47" s="40" t="n">
        <f aca="false">IF(AND(M$3&gt;=$C47,M$3&lt;=$D47),1,"")</f>
        <v>1</v>
      </c>
      <c r="N47" s="40" t="n">
        <f aca="false">IF(AND(N$3&gt;=$C47,N$3&lt;=$D47),1,"")</f>
        <v>1</v>
      </c>
      <c r="O47" s="40" t="n">
        <f aca="false">IF(AND(O$3&gt;=$C47,O$3&lt;=$D47),1,"")</f>
        <v>1</v>
      </c>
      <c r="P47" s="40" t="str">
        <f aca="false">IF(AND(P$3&gt;=$C47,P$3&lt;=$D47),1,"")</f>
        <v/>
      </c>
    </row>
    <row r="48" customFormat="false" ht="15" hidden="false" customHeight="false" outlineLevel="0" collapsed="false">
      <c r="A48" s="21"/>
      <c r="B48" s="38" t="s">
        <v>522</v>
      </c>
      <c r="C48" s="39" t="n">
        <v>9</v>
      </c>
      <c r="D48" s="39" t="n">
        <v>9</v>
      </c>
      <c r="E48" s="40" t="str">
        <f aca="false">IF(AND(E$3&gt;=$C48,E$3&lt;=$D48),1,"")</f>
        <v/>
      </c>
      <c r="F48" s="40" t="str">
        <f aca="false">IF(AND(F$3&gt;=$C48,F$3&lt;=$D48),1,"")</f>
        <v/>
      </c>
      <c r="G48" s="40" t="str">
        <f aca="false">IF(AND(G$3&gt;=$C48,G$3&lt;=$D48),1,"")</f>
        <v/>
      </c>
      <c r="H48" s="40" t="str">
        <f aca="false">IF(AND(H$3&gt;=$C48,H$3&lt;=$D48),1,"")</f>
        <v/>
      </c>
      <c r="I48" s="40" t="str">
        <f aca="false">IF(AND(I$3&gt;=$C48,I$3&lt;=$D48),1,"")</f>
        <v/>
      </c>
      <c r="J48" s="40" t="str">
        <f aca="false">IF(AND(J$3&gt;=$C48,J$3&lt;=$D48),1,"")</f>
        <v/>
      </c>
      <c r="K48" s="40" t="str">
        <f aca="false">IF(AND(K$3&gt;=$C48,K$3&lt;=$D48),1,"")</f>
        <v/>
      </c>
      <c r="L48" s="40" t="str">
        <f aca="false">IF(AND(L$3&gt;=$C48,L$3&lt;=$D48),1,"")</f>
        <v/>
      </c>
      <c r="M48" s="40" t="n">
        <f aca="false">IF(AND(M$3&gt;=$C48,M$3&lt;=$D48),1,"")</f>
        <v>1</v>
      </c>
      <c r="N48" s="40" t="str">
        <f aca="false">IF(AND(N$3&gt;=$C48,N$3&lt;=$D48),1,"")</f>
        <v/>
      </c>
      <c r="O48" s="40" t="str">
        <f aca="false">IF(AND(O$3&gt;=$C48,O$3&lt;=$D48),1,"")</f>
        <v/>
      </c>
      <c r="P48" s="40" t="str">
        <f aca="false">IF(AND(P$3&gt;=$C48,P$3&lt;=$D48),1,"")</f>
        <v/>
      </c>
    </row>
    <row r="49" customFormat="false" ht="15" hidden="false" customHeight="false" outlineLevel="0" collapsed="false">
      <c r="A49" s="21"/>
      <c r="B49" s="38" t="s">
        <v>523</v>
      </c>
      <c r="C49" s="39" t="n">
        <v>10</v>
      </c>
      <c r="D49" s="39" t="n">
        <v>11</v>
      </c>
      <c r="E49" s="40" t="str">
        <f aca="false">IF(AND(E$3&gt;=$C49,E$3&lt;=$D49),1,"")</f>
        <v/>
      </c>
      <c r="F49" s="40" t="str">
        <f aca="false">IF(AND(F$3&gt;=$C49,F$3&lt;=$D49),1,"")</f>
        <v/>
      </c>
      <c r="G49" s="40" t="str">
        <f aca="false">IF(AND(G$3&gt;=$C49,G$3&lt;=$D49),1,"")</f>
        <v/>
      </c>
      <c r="H49" s="40" t="str">
        <f aca="false">IF(AND(H$3&gt;=$C49,H$3&lt;=$D49),1,"")</f>
        <v/>
      </c>
      <c r="I49" s="40" t="str">
        <f aca="false">IF(AND(I$3&gt;=$C49,I$3&lt;=$D49),1,"")</f>
        <v/>
      </c>
      <c r="J49" s="40" t="str">
        <f aca="false">IF(AND(J$3&gt;=$C49,J$3&lt;=$D49),1,"")</f>
        <v/>
      </c>
      <c r="K49" s="40" t="str">
        <f aca="false">IF(AND(K$3&gt;=$C49,K$3&lt;=$D49),1,"")</f>
        <v/>
      </c>
      <c r="L49" s="40" t="str">
        <f aca="false">IF(AND(L$3&gt;=$C49,L$3&lt;=$D49),1,"")</f>
        <v/>
      </c>
      <c r="M49" s="40" t="str">
        <f aca="false">IF(AND(M$3&gt;=$C49,M$3&lt;=$D49),1,"")</f>
        <v/>
      </c>
      <c r="N49" s="40" t="n">
        <f aca="false">IF(AND(N$3&gt;=$C49,N$3&lt;=$D49),1,"")</f>
        <v>1</v>
      </c>
      <c r="O49" s="40" t="n">
        <f aca="false">IF(AND(O$3&gt;=$C49,O$3&lt;=$D49),1,"")</f>
        <v>1</v>
      </c>
      <c r="P49" s="40" t="str">
        <f aca="false">IF(AND(P$3&gt;=$C49,P$3&lt;=$D49),1,"")</f>
        <v/>
      </c>
    </row>
    <row r="50" customFormat="false" ht="15" hidden="false" customHeight="false" outlineLevel="0" collapsed="false">
      <c r="A50" s="21"/>
      <c r="B50" s="38" t="s">
        <v>524</v>
      </c>
      <c r="C50" s="39" t="n">
        <v>12</v>
      </c>
      <c r="D50" s="39" t="n">
        <v>12</v>
      </c>
      <c r="E50" s="40" t="str">
        <f aca="false">IF(AND(E$3&gt;=$C50,E$3&lt;=$D50),1,"")</f>
        <v/>
      </c>
      <c r="F50" s="40" t="str">
        <f aca="false">IF(AND(F$3&gt;=$C50,F$3&lt;=$D50),1,"")</f>
        <v/>
      </c>
      <c r="G50" s="40" t="str">
        <f aca="false">IF(AND(G$3&gt;=$C50,G$3&lt;=$D50),1,"")</f>
        <v/>
      </c>
      <c r="H50" s="40" t="str">
        <f aca="false">IF(AND(H$3&gt;=$C50,H$3&lt;=$D50),1,"")</f>
        <v/>
      </c>
      <c r="I50" s="40" t="str">
        <f aca="false">IF(AND(I$3&gt;=$C50,I$3&lt;=$D50),1,"")</f>
        <v/>
      </c>
      <c r="J50" s="40" t="str">
        <f aca="false">IF(AND(J$3&gt;=$C50,J$3&lt;=$D50),1,"")</f>
        <v/>
      </c>
      <c r="K50" s="40" t="str">
        <f aca="false">IF(AND(K$3&gt;=$C50,K$3&lt;=$D50),1,"")</f>
        <v/>
      </c>
      <c r="L50" s="40" t="str">
        <f aca="false">IF(AND(L$3&gt;=$C50,L$3&lt;=$D50),1,"")</f>
        <v/>
      </c>
      <c r="M50" s="40" t="str">
        <f aca="false">IF(AND(M$3&gt;=$C50,M$3&lt;=$D50),1,"")</f>
        <v/>
      </c>
      <c r="N50" s="40" t="str">
        <f aca="false">IF(AND(N$3&gt;=$C50,N$3&lt;=$D50),1,"")</f>
        <v/>
      </c>
      <c r="O50" s="40" t="str">
        <f aca="false">IF(AND(O$3&gt;=$C50,O$3&lt;=$D50),1,"")</f>
        <v/>
      </c>
      <c r="P50" s="40" t="n">
        <f aca="false">IF(AND(P$3&gt;=$C50,P$3&lt;=$D50),1,"")</f>
        <v>1</v>
      </c>
    </row>
    <row r="51" customFormat="false" ht="15" hidden="false" customHeight="false" outlineLevel="0" collapsed="false">
      <c r="A51" s="21"/>
      <c r="B51" s="38" t="s">
        <v>525</v>
      </c>
      <c r="C51" s="39" t="n">
        <v>12</v>
      </c>
      <c r="D51" s="39" t="n">
        <v>12</v>
      </c>
      <c r="E51" s="40" t="str">
        <f aca="false">IF(AND(E$3&gt;=$C51,E$3&lt;=$D51),1,"")</f>
        <v/>
      </c>
      <c r="F51" s="40" t="str">
        <f aca="false">IF(AND(F$3&gt;=$C51,F$3&lt;=$D51),1,"")</f>
        <v/>
      </c>
      <c r="G51" s="40" t="str">
        <f aca="false">IF(AND(G$3&gt;=$C51,G$3&lt;=$D51),1,"")</f>
        <v/>
      </c>
      <c r="H51" s="40" t="str">
        <f aca="false">IF(AND(H$3&gt;=$C51,H$3&lt;=$D51),1,"")</f>
        <v/>
      </c>
      <c r="I51" s="40" t="str">
        <f aca="false">IF(AND(I$3&gt;=$C51,I$3&lt;=$D51),1,"")</f>
        <v/>
      </c>
      <c r="J51" s="40" t="str">
        <f aca="false">IF(AND(J$3&gt;=$C51,J$3&lt;=$D51),1,"")</f>
        <v/>
      </c>
      <c r="K51" s="40" t="str">
        <f aca="false">IF(AND(K$3&gt;=$C51,K$3&lt;=$D51),1,"")</f>
        <v/>
      </c>
      <c r="L51" s="40" t="str">
        <f aca="false">IF(AND(L$3&gt;=$C51,L$3&lt;=$D51),1,"")</f>
        <v/>
      </c>
      <c r="M51" s="40" t="str">
        <f aca="false">IF(AND(M$3&gt;=$C51,M$3&lt;=$D51),1,"")</f>
        <v/>
      </c>
      <c r="N51" s="40" t="str">
        <f aca="false">IF(AND(N$3&gt;=$C51,N$3&lt;=$D51),1,"")</f>
        <v/>
      </c>
      <c r="O51" s="40" t="str">
        <f aca="false">IF(AND(O$3&gt;=$C51,O$3&lt;=$D51),1,"")</f>
        <v/>
      </c>
      <c r="P51" s="40" t="n">
        <f aca="false">IF(AND(P$3&gt;=$C51,P$3&lt;=$D51),1,"")</f>
        <v>1</v>
      </c>
    </row>
    <row r="52" customFormat="false" ht="15" hidden="false" customHeight="false" outlineLevel="0" collapsed="false">
      <c r="A52" s="21"/>
      <c r="B52" s="38" t="s">
        <v>526</v>
      </c>
      <c r="C52" s="39" t="n">
        <v>12</v>
      </c>
      <c r="D52" s="39" t="n">
        <v>12</v>
      </c>
      <c r="E52" s="40" t="str">
        <f aca="false">IF(AND(E$3&gt;=$C52,E$3&lt;=$D52),1,"")</f>
        <v/>
      </c>
      <c r="F52" s="40" t="str">
        <f aca="false">IF(AND(F$3&gt;=$C52,F$3&lt;=$D52),1,"")</f>
        <v/>
      </c>
      <c r="G52" s="40" t="str">
        <f aca="false">IF(AND(G$3&gt;=$C52,G$3&lt;=$D52),1,"")</f>
        <v/>
      </c>
      <c r="H52" s="40" t="str">
        <f aca="false">IF(AND(H$3&gt;=$C52,H$3&lt;=$D52),1,"")</f>
        <v/>
      </c>
      <c r="I52" s="40" t="str">
        <f aca="false">IF(AND(I$3&gt;=$C52,I$3&lt;=$D52),1,"")</f>
        <v/>
      </c>
      <c r="J52" s="40" t="str">
        <f aca="false">IF(AND(J$3&gt;=$C52,J$3&lt;=$D52),1,"")</f>
        <v/>
      </c>
      <c r="K52" s="40" t="str">
        <f aca="false">IF(AND(K$3&gt;=$C52,K$3&lt;=$D52),1,"")</f>
        <v/>
      </c>
      <c r="L52" s="40" t="str">
        <f aca="false">IF(AND(L$3&gt;=$C52,L$3&lt;=$D52),1,"")</f>
        <v/>
      </c>
      <c r="M52" s="40" t="str">
        <f aca="false">IF(AND(M$3&gt;=$C52,M$3&lt;=$D52),1,"")</f>
        <v/>
      </c>
      <c r="N52" s="40" t="str">
        <f aca="false">IF(AND(N$3&gt;=$C52,N$3&lt;=$D52),1,"")</f>
        <v/>
      </c>
      <c r="O52" s="40" t="str">
        <f aca="false">IF(AND(O$3&gt;=$C52,O$3&lt;=$D52),1,"")</f>
        <v/>
      </c>
      <c r="P52" s="40" t="n">
        <f aca="false">IF(AND(P$3&gt;=$C52,P$3&lt;=$D52),1,"")</f>
        <v>1</v>
      </c>
    </row>
    <row r="53" customFormat="false" ht="15" hidden="false" customHeight="false" outlineLevel="0" collapsed="false">
      <c r="A53" s="22" t="s">
        <v>52</v>
      </c>
      <c r="B53" s="38" t="s">
        <v>527</v>
      </c>
      <c r="C53" s="39" t="n">
        <v>7</v>
      </c>
      <c r="D53" s="39" t="n">
        <v>12</v>
      </c>
      <c r="E53" s="40" t="str">
        <f aca="false">IF(AND(E$3&gt;=$C53,E$3&lt;=$D53),1,"")</f>
        <v/>
      </c>
      <c r="F53" s="40" t="str">
        <f aca="false">IF(AND(F$3&gt;=$C53,F$3&lt;=$D53),1,"")</f>
        <v/>
      </c>
      <c r="G53" s="40" t="str">
        <f aca="false">IF(AND(G$3&gt;=$C53,G$3&lt;=$D53),1,"")</f>
        <v/>
      </c>
      <c r="H53" s="40" t="str">
        <f aca="false">IF(AND(H$3&gt;=$C53,H$3&lt;=$D53),1,"")</f>
        <v/>
      </c>
      <c r="I53" s="40" t="str">
        <f aca="false">IF(AND(I$3&gt;=$C53,I$3&lt;=$D53),1,"")</f>
        <v/>
      </c>
      <c r="J53" s="40" t="str">
        <f aca="false">IF(AND(J$3&gt;=$C53,J$3&lt;=$D53),1,"")</f>
        <v/>
      </c>
      <c r="K53" s="40" t="n">
        <f aca="false">IF(AND(K$3&gt;=$C53,K$3&lt;=$D53),1,"")</f>
        <v>1</v>
      </c>
      <c r="L53" s="40" t="n">
        <f aca="false">IF(AND(L$3&gt;=$C53,L$3&lt;=$D53),1,"")</f>
        <v>1</v>
      </c>
      <c r="M53" s="40" t="n">
        <f aca="false">IF(AND(M$3&gt;=$C53,M$3&lt;=$D53),1,"")</f>
        <v>1</v>
      </c>
      <c r="N53" s="40" t="n">
        <f aca="false">IF(AND(N$3&gt;=$C53,N$3&lt;=$D53),1,"")</f>
        <v>1</v>
      </c>
      <c r="O53" s="40" t="n">
        <f aca="false">IF(AND(O$3&gt;=$C53,O$3&lt;=$D53),1,"")</f>
        <v>1</v>
      </c>
      <c r="P53" s="40" t="n">
        <f aca="false">IF(AND(P$3&gt;=$C53,P$3&lt;=$D53),1,"")</f>
        <v>1</v>
      </c>
    </row>
    <row r="54" customFormat="false" ht="15" hidden="false" customHeight="false" outlineLevel="0" collapsed="false">
      <c r="A54" s="22"/>
      <c r="B54" s="38" t="s">
        <v>528</v>
      </c>
      <c r="C54" s="39" t="n">
        <v>12</v>
      </c>
      <c r="D54" s="39" t="n">
        <v>12</v>
      </c>
      <c r="E54" s="40" t="str">
        <f aca="false">IF(AND(E$3&gt;=$C54,E$3&lt;=$D54),1,"")</f>
        <v/>
      </c>
      <c r="F54" s="40" t="str">
        <f aca="false">IF(AND(F$3&gt;=$C54,F$3&lt;=$D54),1,"")</f>
        <v/>
      </c>
      <c r="G54" s="40" t="str">
        <f aca="false">IF(AND(G$3&gt;=$C54,G$3&lt;=$D54),1,"")</f>
        <v/>
      </c>
      <c r="H54" s="40" t="str">
        <f aca="false">IF(AND(H$3&gt;=$C54,H$3&lt;=$D54),1,"")</f>
        <v/>
      </c>
      <c r="I54" s="40" t="str">
        <f aca="false">IF(AND(I$3&gt;=$C54,I$3&lt;=$D54),1,"")</f>
        <v/>
      </c>
      <c r="J54" s="40" t="str">
        <f aca="false">IF(AND(J$3&gt;=$C54,J$3&lt;=$D54),1,"")</f>
        <v/>
      </c>
      <c r="K54" s="40" t="str">
        <f aca="false">IF(AND(K$3&gt;=$C54,K$3&lt;=$D54),1,"")</f>
        <v/>
      </c>
      <c r="L54" s="40" t="str">
        <f aca="false">IF(AND(L$3&gt;=$C54,L$3&lt;=$D54),1,"")</f>
        <v/>
      </c>
      <c r="M54" s="40" t="str">
        <f aca="false">IF(AND(M$3&gt;=$C54,M$3&lt;=$D54),1,"")</f>
        <v/>
      </c>
      <c r="N54" s="40" t="str">
        <f aca="false">IF(AND(N$3&gt;=$C54,N$3&lt;=$D54),1,"")</f>
        <v/>
      </c>
      <c r="O54" s="40" t="str">
        <f aca="false">IF(AND(O$3&gt;=$C54,O$3&lt;=$D54),1,"")</f>
        <v/>
      </c>
      <c r="P54" s="40" t="n">
        <f aca="false">IF(AND(P$3&gt;=$C54,P$3&lt;=$D54),1,"")</f>
        <v>1</v>
      </c>
    </row>
    <row r="55" customFormat="false" ht="15" hidden="false" customHeight="false" outlineLevel="0" collapsed="false">
      <c r="A55" s="23" t="s">
        <v>54</v>
      </c>
      <c r="B55" s="38" t="s">
        <v>529</v>
      </c>
      <c r="C55" s="39" t="n">
        <v>3</v>
      </c>
      <c r="D55" s="39" t="n">
        <v>3</v>
      </c>
      <c r="E55" s="40" t="str">
        <f aca="false">IF(AND(E$3&gt;=$C55,E$3&lt;=$D55),1,"")</f>
        <v/>
      </c>
      <c r="F55" s="40" t="str">
        <f aca="false">IF(AND(F$3&gt;=$C55,F$3&lt;=$D55),1,"")</f>
        <v/>
      </c>
      <c r="G55" s="40" t="n">
        <f aca="false">IF(AND(G$3&gt;=$C55,G$3&lt;=$D55),1,"")</f>
        <v>1</v>
      </c>
      <c r="H55" s="40" t="str">
        <f aca="false">IF(AND(H$3&gt;=$C55,H$3&lt;=$D55),1,"")</f>
        <v/>
      </c>
      <c r="I55" s="40" t="str">
        <f aca="false">IF(AND(I$3&gt;=$C55,I$3&lt;=$D55),1,"")</f>
        <v/>
      </c>
      <c r="J55" s="40" t="str">
        <f aca="false">IF(AND(J$3&gt;=$C55,J$3&lt;=$D55),1,"")</f>
        <v/>
      </c>
      <c r="K55" s="40" t="str">
        <f aca="false">IF(AND(K$3&gt;=$C55,K$3&lt;=$D55),1,"")</f>
        <v/>
      </c>
      <c r="L55" s="40" t="str">
        <f aca="false">IF(AND(L$3&gt;=$C55,L$3&lt;=$D55),1,"")</f>
        <v/>
      </c>
      <c r="M55" s="40" t="str">
        <f aca="false">IF(AND(M$3&gt;=$C55,M$3&lt;=$D55),1,"")</f>
        <v/>
      </c>
      <c r="N55" s="40" t="str">
        <f aca="false">IF(AND(N$3&gt;=$C55,N$3&lt;=$D55),1,"")</f>
        <v/>
      </c>
      <c r="O55" s="40" t="str">
        <f aca="false">IF(AND(O$3&gt;=$C55,O$3&lt;=$D55),1,"")</f>
        <v/>
      </c>
      <c r="P55" s="40" t="str">
        <f aca="false">IF(AND(P$3&gt;=$C55,P$3&lt;=$D55),1,"")</f>
        <v/>
      </c>
    </row>
    <row r="56" customFormat="false" ht="15" hidden="false" customHeight="false" outlineLevel="0" collapsed="false">
      <c r="A56" s="23"/>
      <c r="B56" s="38" t="s">
        <v>530</v>
      </c>
      <c r="C56" s="39" t="n">
        <v>6</v>
      </c>
      <c r="D56" s="39" t="n">
        <v>6</v>
      </c>
      <c r="E56" s="40" t="str">
        <f aca="false">IF(AND(E$3&gt;=$C56,E$3&lt;=$D56),1,"")</f>
        <v/>
      </c>
      <c r="F56" s="40" t="str">
        <f aca="false">IF(AND(F$3&gt;=$C56,F$3&lt;=$D56),1,"")</f>
        <v/>
      </c>
      <c r="G56" s="40" t="str">
        <f aca="false">IF(AND(G$3&gt;=$C56,G$3&lt;=$D56),1,"")</f>
        <v/>
      </c>
      <c r="H56" s="40" t="str">
        <f aca="false">IF(AND(H$3&gt;=$C56,H$3&lt;=$D56),1,"")</f>
        <v/>
      </c>
      <c r="I56" s="40" t="str">
        <f aca="false">IF(AND(I$3&gt;=$C56,I$3&lt;=$D56),1,"")</f>
        <v/>
      </c>
      <c r="J56" s="40" t="n">
        <f aca="false">IF(AND(J$3&gt;=$C56,J$3&lt;=$D56),1,"")</f>
        <v>1</v>
      </c>
      <c r="K56" s="40" t="str">
        <f aca="false">IF(AND(K$3&gt;=$C56,K$3&lt;=$D56),1,"")</f>
        <v/>
      </c>
      <c r="L56" s="40" t="str">
        <f aca="false">IF(AND(L$3&gt;=$C56,L$3&lt;=$D56),1,"")</f>
        <v/>
      </c>
      <c r="M56" s="40" t="str">
        <f aca="false">IF(AND(M$3&gt;=$C56,M$3&lt;=$D56),1,"")</f>
        <v/>
      </c>
      <c r="N56" s="40" t="str">
        <f aca="false">IF(AND(N$3&gt;=$C56,N$3&lt;=$D56),1,"")</f>
        <v/>
      </c>
      <c r="O56" s="40" t="str">
        <f aca="false">IF(AND(O$3&gt;=$C56,O$3&lt;=$D56),1,"")</f>
        <v/>
      </c>
      <c r="P56" s="40" t="str">
        <f aca="false">IF(AND(P$3&gt;=$C56,P$3&lt;=$D56),1,"")</f>
        <v/>
      </c>
    </row>
    <row r="57" customFormat="false" ht="15" hidden="false" customHeight="false" outlineLevel="0" collapsed="false">
      <c r="A57" s="23"/>
      <c r="B57" s="38" t="s">
        <v>531</v>
      </c>
      <c r="C57" s="39" t="n">
        <v>9</v>
      </c>
      <c r="D57" s="39" t="n">
        <v>9</v>
      </c>
      <c r="E57" s="40" t="str">
        <f aca="false">IF(AND(E$3&gt;=$C57,E$3&lt;=$D57),1,"")</f>
        <v/>
      </c>
      <c r="F57" s="40" t="str">
        <f aca="false">IF(AND(F$3&gt;=$C57,F$3&lt;=$D57),1,"")</f>
        <v/>
      </c>
      <c r="G57" s="40" t="str">
        <f aca="false">IF(AND(G$3&gt;=$C57,G$3&lt;=$D57),1,"")</f>
        <v/>
      </c>
      <c r="H57" s="40" t="str">
        <f aca="false">IF(AND(H$3&gt;=$C57,H$3&lt;=$D57),1,"")</f>
        <v/>
      </c>
      <c r="I57" s="40" t="str">
        <f aca="false">IF(AND(I$3&gt;=$C57,I$3&lt;=$D57),1,"")</f>
        <v/>
      </c>
      <c r="J57" s="40" t="str">
        <f aca="false">IF(AND(J$3&gt;=$C57,J$3&lt;=$D57),1,"")</f>
        <v/>
      </c>
      <c r="K57" s="40" t="str">
        <f aca="false">IF(AND(K$3&gt;=$C57,K$3&lt;=$D57),1,"")</f>
        <v/>
      </c>
      <c r="L57" s="40" t="str">
        <f aca="false">IF(AND(L$3&gt;=$C57,L$3&lt;=$D57),1,"")</f>
        <v/>
      </c>
      <c r="M57" s="40" t="n">
        <f aca="false">IF(AND(M$3&gt;=$C57,M$3&lt;=$D57),1,"")</f>
        <v>1</v>
      </c>
      <c r="N57" s="40" t="str">
        <f aca="false">IF(AND(N$3&gt;=$C57,N$3&lt;=$D57),1,"")</f>
        <v/>
      </c>
      <c r="O57" s="40" t="str">
        <f aca="false">IF(AND(O$3&gt;=$C57,O$3&lt;=$D57),1,"")</f>
        <v/>
      </c>
      <c r="P57" s="40" t="str">
        <f aca="false">IF(AND(P$3&gt;=$C57,P$3&lt;=$D57),1,"")</f>
        <v/>
      </c>
    </row>
    <row r="58" customFormat="false" ht="15" hidden="false" customHeight="false" outlineLevel="0" collapsed="false">
      <c r="A58" s="23"/>
      <c r="B58" s="38" t="s">
        <v>532</v>
      </c>
      <c r="C58" s="39" t="n">
        <v>9</v>
      </c>
      <c r="D58" s="39" t="n">
        <v>9</v>
      </c>
      <c r="E58" s="40" t="str">
        <f aca="false">IF(AND(E$3&gt;=$C58,E$3&lt;=$D58),1,"")</f>
        <v/>
      </c>
      <c r="F58" s="40" t="str">
        <f aca="false">IF(AND(F$3&gt;=$C58,F$3&lt;=$D58),1,"")</f>
        <v/>
      </c>
      <c r="G58" s="40" t="str">
        <f aca="false">IF(AND(G$3&gt;=$C58,G$3&lt;=$D58),1,"")</f>
        <v/>
      </c>
      <c r="H58" s="40" t="str">
        <f aca="false">IF(AND(H$3&gt;=$C58,H$3&lt;=$D58),1,"")</f>
        <v/>
      </c>
      <c r="I58" s="40" t="str">
        <f aca="false">IF(AND(I$3&gt;=$C58,I$3&lt;=$D58),1,"")</f>
        <v/>
      </c>
      <c r="J58" s="40" t="str">
        <f aca="false">IF(AND(J$3&gt;=$C58,J$3&lt;=$D58),1,"")</f>
        <v/>
      </c>
      <c r="K58" s="40" t="str">
        <f aca="false">IF(AND(K$3&gt;=$C58,K$3&lt;=$D58),1,"")</f>
        <v/>
      </c>
      <c r="L58" s="40" t="str">
        <f aca="false">IF(AND(L$3&gt;=$C58,L$3&lt;=$D58),1,"")</f>
        <v/>
      </c>
      <c r="M58" s="40" t="n">
        <f aca="false">IF(AND(M$3&gt;=$C58,M$3&lt;=$D58),1,"")</f>
        <v>1</v>
      </c>
      <c r="N58" s="40" t="str">
        <f aca="false">IF(AND(N$3&gt;=$C58,N$3&lt;=$D58),1,"")</f>
        <v/>
      </c>
      <c r="O58" s="40" t="str">
        <f aca="false">IF(AND(O$3&gt;=$C58,O$3&lt;=$D58),1,"")</f>
        <v/>
      </c>
      <c r="P58" s="40" t="str">
        <f aca="false">IF(AND(P$3&gt;=$C58,P$3&lt;=$D58),1,"")</f>
        <v/>
      </c>
    </row>
    <row r="59" customFormat="false" ht="15" hidden="false" customHeight="false" outlineLevel="0" collapsed="false">
      <c r="A59" s="23"/>
      <c r="B59" s="38" t="s">
        <v>533</v>
      </c>
      <c r="C59" s="39" t="n">
        <v>12</v>
      </c>
      <c r="D59" s="39" t="n">
        <v>12</v>
      </c>
      <c r="E59" s="40" t="str">
        <f aca="false">IF(AND(E$3&gt;=$C59,E$3&lt;=$D59),1,"")</f>
        <v/>
      </c>
      <c r="F59" s="40" t="str">
        <f aca="false">IF(AND(F$3&gt;=$C59,F$3&lt;=$D59),1,"")</f>
        <v/>
      </c>
      <c r="G59" s="40" t="str">
        <f aca="false">IF(AND(G$3&gt;=$C59,G$3&lt;=$D59),1,"")</f>
        <v/>
      </c>
      <c r="H59" s="40" t="str">
        <f aca="false">IF(AND(H$3&gt;=$C59,H$3&lt;=$D59),1,"")</f>
        <v/>
      </c>
      <c r="I59" s="40" t="str">
        <f aca="false">IF(AND(I$3&gt;=$C59,I$3&lt;=$D59),1,"")</f>
        <v/>
      </c>
      <c r="J59" s="40" t="str">
        <f aca="false">IF(AND(J$3&gt;=$C59,J$3&lt;=$D59),1,"")</f>
        <v/>
      </c>
      <c r="K59" s="40" t="str">
        <f aca="false">IF(AND(K$3&gt;=$C59,K$3&lt;=$D59),1,"")</f>
        <v/>
      </c>
      <c r="L59" s="40" t="str">
        <f aca="false">IF(AND(L$3&gt;=$C59,L$3&lt;=$D59),1,"")</f>
        <v/>
      </c>
      <c r="M59" s="40" t="str">
        <f aca="false">IF(AND(M$3&gt;=$C59,M$3&lt;=$D59),1,"")</f>
        <v/>
      </c>
      <c r="N59" s="40" t="str">
        <f aca="false">IF(AND(N$3&gt;=$C59,N$3&lt;=$D59),1,"")</f>
        <v/>
      </c>
      <c r="O59" s="40" t="str">
        <f aca="false">IF(AND(O$3&gt;=$C59,O$3&lt;=$D59),1,"")</f>
        <v/>
      </c>
      <c r="P59" s="40" t="n">
        <f aca="false">IF(AND(P$3&gt;=$C59,P$3&lt;=$D59),1,"")</f>
        <v>1</v>
      </c>
    </row>
    <row r="60" customFormat="false" ht="15" hidden="false" customHeight="false" outlineLevel="0" collapsed="false">
      <c r="A60" s="23"/>
      <c r="B60" s="38" t="s">
        <v>534</v>
      </c>
      <c r="C60" s="39" t="n">
        <v>12</v>
      </c>
      <c r="D60" s="39" t="n">
        <v>12</v>
      </c>
      <c r="E60" s="40" t="str">
        <f aca="false">IF(AND(E$3&gt;=$C60,E$3&lt;=$D60),1,"")</f>
        <v/>
      </c>
      <c r="F60" s="40" t="str">
        <f aca="false">IF(AND(F$3&gt;=$C60,F$3&lt;=$D60),1,"")</f>
        <v/>
      </c>
      <c r="G60" s="40" t="str">
        <f aca="false">IF(AND(G$3&gt;=$C60,G$3&lt;=$D60),1,"")</f>
        <v/>
      </c>
      <c r="H60" s="40" t="str">
        <f aca="false">IF(AND(H$3&gt;=$C60,H$3&lt;=$D60),1,"")</f>
        <v/>
      </c>
      <c r="I60" s="40" t="str">
        <f aca="false">IF(AND(I$3&gt;=$C60,I$3&lt;=$D60),1,"")</f>
        <v/>
      </c>
      <c r="J60" s="40" t="str">
        <f aca="false">IF(AND(J$3&gt;=$C60,J$3&lt;=$D60),1,"")</f>
        <v/>
      </c>
      <c r="K60" s="40" t="str">
        <f aca="false">IF(AND(K$3&gt;=$C60,K$3&lt;=$D60),1,"")</f>
        <v/>
      </c>
      <c r="L60" s="40" t="str">
        <f aca="false">IF(AND(L$3&gt;=$C60,L$3&lt;=$D60),1,"")</f>
        <v/>
      </c>
      <c r="M60" s="40" t="str">
        <f aca="false">IF(AND(M$3&gt;=$C60,M$3&lt;=$D60),1,"")</f>
        <v/>
      </c>
      <c r="N60" s="40" t="str">
        <f aca="false">IF(AND(N$3&gt;=$C60,N$3&lt;=$D60),1,"")</f>
        <v/>
      </c>
      <c r="O60" s="40" t="str">
        <f aca="false">IF(AND(O$3&gt;=$C60,O$3&lt;=$D60),1,"")</f>
        <v/>
      </c>
      <c r="P60" s="40" t="n">
        <f aca="false">IF(AND(P$3&gt;=$C60,P$3&lt;=$D60),1,"")</f>
        <v>1</v>
      </c>
    </row>
    <row r="61" customFormat="false" ht="15" hidden="false" customHeight="false" outlineLevel="0" collapsed="false">
      <c r="A61" s="24" t="s">
        <v>57</v>
      </c>
      <c r="B61" s="38" t="s">
        <v>535</v>
      </c>
      <c r="C61" s="39" t="n">
        <v>8</v>
      </c>
      <c r="D61" s="39" t="n">
        <v>8</v>
      </c>
      <c r="E61" s="40" t="str">
        <f aca="false">IF(AND(E$3&gt;=$C61,E$3&lt;=$D61),1,"")</f>
        <v/>
      </c>
      <c r="F61" s="40" t="str">
        <f aca="false">IF(AND(F$3&gt;=$C61,F$3&lt;=$D61),1,"")</f>
        <v/>
      </c>
      <c r="G61" s="40" t="str">
        <f aca="false">IF(AND(G$3&gt;=$C61,G$3&lt;=$D61),1,"")</f>
        <v/>
      </c>
      <c r="H61" s="40" t="str">
        <f aca="false">IF(AND(H$3&gt;=$C61,H$3&lt;=$D61),1,"")</f>
        <v/>
      </c>
      <c r="I61" s="40" t="str">
        <f aca="false">IF(AND(I$3&gt;=$C61,I$3&lt;=$D61),1,"")</f>
        <v/>
      </c>
      <c r="J61" s="40" t="str">
        <f aca="false">IF(AND(J$3&gt;=$C61,J$3&lt;=$D61),1,"")</f>
        <v/>
      </c>
      <c r="K61" s="40" t="str">
        <f aca="false">IF(AND(K$3&gt;=$C61,K$3&lt;=$D61),1,"")</f>
        <v/>
      </c>
      <c r="L61" s="40" t="n">
        <f aca="false">IF(AND(L$3&gt;=$C61,L$3&lt;=$D61),1,"")</f>
        <v>1</v>
      </c>
      <c r="M61" s="40" t="str">
        <f aca="false">IF(AND(M$3&gt;=$C61,M$3&lt;=$D61),1,"")</f>
        <v/>
      </c>
      <c r="N61" s="40" t="str">
        <f aca="false">IF(AND(N$3&gt;=$C61,N$3&lt;=$D61),1,"")</f>
        <v/>
      </c>
      <c r="O61" s="40" t="str">
        <f aca="false">IF(AND(O$3&gt;=$C61,O$3&lt;=$D61),1,"")</f>
        <v/>
      </c>
      <c r="P61" s="40" t="str">
        <f aca="false">IF(AND(P$3&gt;=$C61,P$3&lt;=$D61),1,"")</f>
        <v/>
      </c>
    </row>
    <row r="62" customFormat="false" ht="15" hidden="false" customHeight="false" outlineLevel="0" collapsed="false">
      <c r="A62" s="24"/>
      <c r="B62" s="38" t="s">
        <v>536</v>
      </c>
      <c r="C62" s="39" t="n">
        <v>10</v>
      </c>
      <c r="D62" s="39" t="n">
        <v>11</v>
      </c>
      <c r="E62" s="40" t="str">
        <f aca="false">IF(AND(E$3&gt;=$C62,E$3&lt;=$D62),1,"")</f>
        <v/>
      </c>
      <c r="F62" s="40" t="str">
        <f aca="false">IF(AND(F$3&gt;=$C62,F$3&lt;=$D62),1,"")</f>
        <v/>
      </c>
      <c r="G62" s="40" t="str">
        <f aca="false">IF(AND(G$3&gt;=$C62,G$3&lt;=$D62),1,"")</f>
        <v/>
      </c>
      <c r="H62" s="40" t="str">
        <f aca="false">IF(AND(H$3&gt;=$C62,H$3&lt;=$D62),1,"")</f>
        <v/>
      </c>
      <c r="I62" s="40" t="str">
        <f aca="false">IF(AND(I$3&gt;=$C62,I$3&lt;=$D62),1,"")</f>
        <v/>
      </c>
      <c r="J62" s="40" t="str">
        <f aca="false">IF(AND(J$3&gt;=$C62,J$3&lt;=$D62),1,"")</f>
        <v/>
      </c>
      <c r="K62" s="40" t="str">
        <f aca="false">IF(AND(K$3&gt;=$C62,K$3&lt;=$D62),1,"")</f>
        <v/>
      </c>
      <c r="L62" s="40" t="str">
        <f aca="false">IF(AND(L$3&gt;=$C62,L$3&lt;=$D62),1,"")</f>
        <v/>
      </c>
      <c r="M62" s="40" t="str">
        <f aca="false">IF(AND(M$3&gt;=$C62,M$3&lt;=$D62),1,"")</f>
        <v/>
      </c>
      <c r="N62" s="40" t="n">
        <f aca="false">IF(AND(N$3&gt;=$C62,N$3&lt;=$D62),1,"")</f>
        <v>1</v>
      </c>
      <c r="O62" s="40" t="n">
        <f aca="false">IF(AND(O$3&gt;=$C62,O$3&lt;=$D62),1,"")</f>
        <v>1</v>
      </c>
      <c r="P62" s="40" t="str">
        <f aca="false">IF(AND(P$3&gt;=$C62,P$3&lt;=$D62),1,"")</f>
        <v/>
      </c>
    </row>
    <row r="63" customFormat="false" ht="15" hidden="false" customHeight="false" outlineLevel="0" collapsed="false">
      <c r="B63" s="41" t="s">
        <v>537</v>
      </c>
      <c r="F63" s="42" t="s">
        <v>538</v>
      </c>
      <c r="J63" s="42" t="s">
        <v>539</v>
      </c>
      <c r="P63" s="42" t="s">
        <v>540</v>
      </c>
    </row>
  </sheetData>
  <mergeCells count="1">
    <mergeCell ref="A2:P2"/>
  </mergeCells>
  <conditionalFormatting sqref="E6:P62">
    <cfRule type="expression" priority="2" aboveAverage="0" equalAverage="0" bottom="0" percent="0" rank="0" text="" dxfId="12">
      <formula>E6=1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4"/>
    <col collapsed="false" customWidth="true" hidden="false" outlineLevel="0" max="4" min="4" style="0" width="16"/>
    <col collapsed="false" customWidth="true" hidden="false" outlineLevel="0" max="5" min="5" style="0" width="54"/>
    <col collapsed="false" customWidth="true" hidden="false" outlineLevel="0" max="6" min="6" style="0" width="20"/>
    <col collapsed="false" customWidth="true" hidden="false" outlineLevel="0" max="7" min="7" style="0" width="12"/>
    <col collapsed="false" customWidth="true" hidden="false" outlineLevel="0" max="8" min="8" style="0" width="34"/>
  </cols>
  <sheetData>
    <row r="1" customFormat="false" ht="24" hidden="false" customHeight="true" outlineLevel="0" collapsed="false">
      <c r="A1" s="1" t="s">
        <v>541</v>
      </c>
    </row>
    <row r="2" customFormat="false" ht="30" hidden="false" customHeight="true" outlineLevel="0" collapsed="false">
      <c r="A2" s="2" t="s">
        <v>542</v>
      </c>
      <c r="B2" s="2"/>
      <c r="C2" s="2"/>
      <c r="D2" s="2"/>
      <c r="E2" s="2"/>
      <c r="F2" s="2"/>
      <c r="G2" s="2"/>
      <c r="H2" s="2"/>
    </row>
    <row r="4" customFormat="false" ht="15" hidden="false" customHeight="false" outlineLevel="0" collapsed="false">
      <c r="A4" s="11" t="s">
        <v>100</v>
      </c>
      <c r="B4" s="11" t="s">
        <v>543</v>
      </c>
      <c r="C4" s="11" t="s">
        <v>544</v>
      </c>
      <c r="D4" s="11" t="s">
        <v>545</v>
      </c>
      <c r="E4" s="11" t="s">
        <v>546</v>
      </c>
      <c r="F4" s="11" t="s">
        <v>547</v>
      </c>
      <c r="G4" s="11" t="s">
        <v>548</v>
      </c>
      <c r="H4" s="11" t="s">
        <v>549</v>
      </c>
    </row>
    <row r="5" customFormat="false" ht="42.75" hidden="false" customHeight="true" outlineLevel="0" collapsed="false">
      <c r="A5" s="13" t="s">
        <v>187</v>
      </c>
      <c r="B5" s="13" t="s">
        <v>550</v>
      </c>
      <c r="C5" s="12" t="s">
        <v>551</v>
      </c>
      <c r="D5" s="12" t="s">
        <v>552</v>
      </c>
      <c r="E5" s="12" t="s">
        <v>553</v>
      </c>
      <c r="F5" s="12" t="s">
        <v>149</v>
      </c>
      <c r="G5" s="12" t="str">
        <f aca="false">"M5 ("&amp;TEXT(EDATE(Overview!$C$8,5-1),"mmm")&amp;")"</f>
        <v>M5 (May)</v>
      </c>
      <c r="H5" s="12" t="s">
        <v>554</v>
      </c>
    </row>
    <row r="6" customFormat="false" ht="55.5" hidden="false" customHeight="true" outlineLevel="0" collapsed="false">
      <c r="A6" s="13" t="s">
        <v>201</v>
      </c>
      <c r="B6" s="13" t="s">
        <v>202</v>
      </c>
      <c r="C6" s="12" t="s">
        <v>555</v>
      </c>
      <c r="D6" s="12" t="s">
        <v>556</v>
      </c>
      <c r="E6" s="12" t="s">
        <v>557</v>
      </c>
      <c r="F6" s="12" t="s">
        <v>203</v>
      </c>
      <c r="G6" s="12" t="str">
        <f aca="false">"M6 ("&amp;TEXT(EDATE(Overview!$C$8,6-1),"mmm")&amp;")"</f>
        <v>M6 (Jun)</v>
      </c>
      <c r="H6" s="12" t="s">
        <v>558</v>
      </c>
    </row>
    <row r="7" customFormat="false" ht="42.75" hidden="false" customHeight="true" outlineLevel="0" collapsed="false">
      <c r="A7" s="13" t="s">
        <v>206</v>
      </c>
      <c r="B7" s="13" t="s">
        <v>207</v>
      </c>
      <c r="C7" s="12" t="s">
        <v>559</v>
      </c>
      <c r="D7" s="12" t="s">
        <v>560</v>
      </c>
      <c r="E7" s="12" t="s">
        <v>561</v>
      </c>
      <c r="F7" s="12" t="s">
        <v>208</v>
      </c>
      <c r="G7" s="12" t="str">
        <f aca="false">"M6 ("&amp;TEXT(EDATE(Overview!$C$8,6-1),"mmm")&amp;")"</f>
        <v>M6 (Jun)</v>
      </c>
      <c r="H7" s="12" t="s">
        <v>562</v>
      </c>
    </row>
    <row r="8" customFormat="false" ht="69" hidden="false" customHeight="true" outlineLevel="0" collapsed="false">
      <c r="A8" s="13" t="s">
        <v>220</v>
      </c>
      <c r="B8" s="13" t="s">
        <v>563</v>
      </c>
      <c r="C8" s="12" t="s">
        <v>564</v>
      </c>
      <c r="D8" s="12" t="s">
        <v>565</v>
      </c>
      <c r="E8" s="12" t="s">
        <v>566</v>
      </c>
      <c r="F8" s="12" t="s">
        <v>222</v>
      </c>
      <c r="G8" s="12" t="str">
        <f aca="false">"M6 ("&amp;TEXT(EDATE(Overview!$C$8,6-1),"mmm")&amp;")"</f>
        <v>M6 (Jun)</v>
      </c>
      <c r="H8" s="12" t="s">
        <v>567</v>
      </c>
    </row>
    <row r="9" customFormat="false" ht="42.75" hidden="false" customHeight="true" outlineLevel="0" collapsed="false">
      <c r="A9" s="13" t="s">
        <v>259</v>
      </c>
      <c r="B9" s="13" t="s">
        <v>568</v>
      </c>
      <c r="C9" s="12" t="s">
        <v>569</v>
      </c>
      <c r="D9" s="12" t="s">
        <v>570</v>
      </c>
      <c r="E9" s="12" t="s">
        <v>571</v>
      </c>
      <c r="F9" s="12" t="s">
        <v>261</v>
      </c>
      <c r="G9" s="12" t="str">
        <f aca="false">"M8 ("&amp;TEXT(EDATE(Overview!$C$8,8-1),"mmm")&amp;")"</f>
        <v>M8 (Aug)</v>
      </c>
      <c r="H9" s="12" t="s">
        <v>572</v>
      </c>
    </row>
    <row r="10" customFormat="false" ht="42.75" hidden="false" customHeight="true" outlineLevel="0" collapsed="false">
      <c r="A10" s="13" t="s">
        <v>273</v>
      </c>
      <c r="B10" s="13" t="s">
        <v>274</v>
      </c>
      <c r="C10" s="12" t="s">
        <v>573</v>
      </c>
      <c r="D10" s="12" t="s">
        <v>574</v>
      </c>
      <c r="E10" s="12" t="s">
        <v>575</v>
      </c>
      <c r="F10" s="12" t="s">
        <v>275</v>
      </c>
      <c r="G10" s="12" t="str">
        <f aca="false">"M9 ("&amp;TEXT(EDATE(Overview!$C$8,9-1),"mmm")&amp;")"</f>
        <v>M9 (Sep)</v>
      </c>
      <c r="H10" s="12" t="s">
        <v>576</v>
      </c>
    </row>
    <row r="11" customFormat="false" ht="42.75" hidden="false" customHeight="true" outlineLevel="0" collapsed="false">
      <c r="A11" s="13" t="s">
        <v>325</v>
      </c>
      <c r="B11" s="13" t="s">
        <v>577</v>
      </c>
      <c r="C11" s="12" t="s">
        <v>578</v>
      </c>
      <c r="D11" s="12" t="s">
        <v>579</v>
      </c>
      <c r="E11" s="12" t="s">
        <v>580</v>
      </c>
      <c r="F11" s="12" t="s">
        <v>41</v>
      </c>
      <c r="G11" s="12" t="str">
        <f aca="false">"M12 ("&amp;TEXT(EDATE(Overview!$C$8,12-1),"mmm")&amp;")"</f>
        <v>M12 (Dec)</v>
      </c>
      <c r="H11" s="12" t="s">
        <v>581</v>
      </c>
    </row>
    <row r="12" customFormat="false" ht="30" hidden="false" customHeight="true" outlineLevel="0" collapsed="false">
      <c r="A12" s="13" t="s">
        <v>343</v>
      </c>
      <c r="B12" s="13" t="s">
        <v>582</v>
      </c>
      <c r="C12" s="12" t="s">
        <v>583</v>
      </c>
      <c r="D12" s="12" t="s">
        <v>584</v>
      </c>
      <c r="E12" s="12" t="s">
        <v>585</v>
      </c>
      <c r="F12" s="12" t="s">
        <v>122</v>
      </c>
      <c r="G12" s="12" t="str">
        <f aca="false">"M12 ("&amp;TEXT(EDATE(Overview!$C$8,12-1),"mmm")&amp;")"</f>
        <v>M12 (Dec)</v>
      </c>
      <c r="H12" s="12" t="s">
        <v>344</v>
      </c>
    </row>
    <row r="14" customFormat="false" ht="30" hidden="false" customHeight="true" outlineLevel="0" collapsed="false">
      <c r="A14" s="25" t="s">
        <v>586</v>
      </c>
      <c r="B14" s="25"/>
      <c r="C14" s="25"/>
      <c r="D14" s="25"/>
      <c r="E14" s="25"/>
      <c r="F14" s="25"/>
      <c r="G14" s="25"/>
      <c r="H14" s="25"/>
    </row>
  </sheetData>
  <mergeCells count="2">
    <mergeCell ref="A2:H2"/>
    <mergeCell ref="A14:H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40"/>
    <col collapsed="false" customWidth="true" hidden="false" outlineLevel="0" max="4" min="4" style="0" width="34"/>
    <col collapsed="false" customWidth="true" hidden="false" outlineLevel="0" max="5" min="5" style="0" width="22"/>
    <col collapsed="false" customWidth="true" hidden="false" outlineLevel="0" max="6" min="6" style="0" width="36"/>
    <col collapsed="false" customWidth="true" hidden="false" outlineLevel="0" max="7" min="7" style="0" width="12"/>
    <col collapsed="false" customWidth="true" hidden="false" outlineLevel="0" max="8" min="8" style="0" width="20"/>
  </cols>
  <sheetData>
    <row r="1" customFormat="false" ht="24" hidden="false" customHeight="true" outlineLevel="0" collapsed="false">
      <c r="A1" s="1" t="s">
        <v>587</v>
      </c>
    </row>
    <row r="2" customFormat="false" ht="30" hidden="false" customHeight="true" outlineLevel="0" collapsed="false">
      <c r="A2" s="2" t="s">
        <v>588</v>
      </c>
      <c r="B2" s="2"/>
      <c r="C2" s="2"/>
      <c r="D2" s="2"/>
      <c r="E2" s="2"/>
      <c r="F2" s="2"/>
      <c r="G2" s="2"/>
      <c r="H2" s="2"/>
    </row>
    <row r="4" customFormat="false" ht="15" hidden="false" customHeight="false" outlineLevel="0" collapsed="false">
      <c r="A4" s="11" t="s">
        <v>100</v>
      </c>
      <c r="B4" s="11" t="s">
        <v>589</v>
      </c>
      <c r="C4" s="11" t="s">
        <v>590</v>
      </c>
      <c r="D4" s="11" t="s">
        <v>591</v>
      </c>
      <c r="E4" s="11" t="s">
        <v>592</v>
      </c>
      <c r="F4" s="11" t="s">
        <v>593</v>
      </c>
      <c r="G4" s="11" t="s">
        <v>548</v>
      </c>
      <c r="H4" s="11" t="s">
        <v>4</v>
      </c>
    </row>
    <row r="5" customFormat="false" ht="30" hidden="false" customHeight="true" outlineLevel="0" collapsed="false">
      <c r="A5" s="13" t="s">
        <v>147</v>
      </c>
      <c r="B5" s="13" t="s">
        <v>594</v>
      </c>
      <c r="C5" s="12" t="s">
        <v>595</v>
      </c>
      <c r="D5" s="12" t="s">
        <v>596</v>
      </c>
      <c r="E5" s="12" t="s">
        <v>584</v>
      </c>
      <c r="F5" s="12" t="s">
        <v>597</v>
      </c>
      <c r="G5" s="12" t="str">
        <f aca="false">"M3 ("&amp;TEXT(EDATE(Overview!$C$8,3-1),"mmm")&amp;")"</f>
        <v>M3 (Mar)</v>
      </c>
      <c r="H5" s="12" t="s">
        <v>44</v>
      </c>
    </row>
    <row r="6" customFormat="false" ht="30" hidden="false" customHeight="true" outlineLevel="0" collapsed="false">
      <c r="A6" s="13" t="s">
        <v>135</v>
      </c>
      <c r="B6" s="13" t="s">
        <v>598</v>
      </c>
      <c r="C6" s="12" t="s">
        <v>599</v>
      </c>
      <c r="D6" s="12" t="s">
        <v>600</v>
      </c>
      <c r="E6" s="12" t="s">
        <v>601</v>
      </c>
      <c r="F6" s="12" t="s">
        <v>602</v>
      </c>
      <c r="G6" s="12" t="str">
        <f aca="false">"M3 ("&amp;TEXT(EDATE(Overview!$C$8,3-1),"mmm")&amp;")"</f>
        <v>M3 (Mar)</v>
      </c>
      <c r="H6" s="12" t="s">
        <v>41</v>
      </c>
    </row>
    <row r="7" customFormat="false" ht="30" hidden="false" customHeight="true" outlineLevel="0" collapsed="false">
      <c r="A7" s="13" t="s">
        <v>172</v>
      </c>
      <c r="B7" s="13" t="s">
        <v>603</v>
      </c>
      <c r="C7" s="12" t="s">
        <v>604</v>
      </c>
      <c r="D7" s="12" t="s">
        <v>605</v>
      </c>
      <c r="E7" s="12" t="s">
        <v>606</v>
      </c>
      <c r="F7" s="12" t="s">
        <v>607</v>
      </c>
      <c r="G7" s="12" t="str">
        <f aca="false">"M4 ("&amp;TEXT(EDATE(Overview!$C$8,4-1),"mmm")&amp;")"</f>
        <v>M4 (Apr)</v>
      </c>
      <c r="H7" s="12" t="s">
        <v>252</v>
      </c>
    </row>
    <row r="8" customFormat="false" ht="30" hidden="false" customHeight="true" outlineLevel="0" collapsed="false">
      <c r="A8" s="13" t="s">
        <v>211</v>
      </c>
      <c r="B8" s="13" t="s">
        <v>608</v>
      </c>
      <c r="C8" s="12" t="s">
        <v>609</v>
      </c>
      <c r="D8" s="12" t="s">
        <v>610</v>
      </c>
      <c r="E8" s="12" t="s">
        <v>611</v>
      </c>
      <c r="F8" s="12" t="s">
        <v>612</v>
      </c>
      <c r="G8" s="12" t="str">
        <f aca="false">"M6 ("&amp;TEXT(EDATE(Overview!$C$8,6-1),"mmm")&amp;")"</f>
        <v>M6 (Jun)</v>
      </c>
      <c r="H8" s="12" t="s">
        <v>213</v>
      </c>
    </row>
    <row r="9" customFormat="false" ht="30" hidden="false" customHeight="true" outlineLevel="0" collapsed="false">
      <c r="A9" s="13" t="s">
        <v>216</v>
      </c>
      <c r="B9" s="13" t="s">
        <v>217</v>
      </c>
      <c r="C9" s="12" t="s">
        <v>613</v>
      </c>
      <c r="D9" s="12" t="s">
        <v>614</v>
      </c>
      <c r="E9" s="12" t="s">
        <v>615</v>
      </c>
      <c r="F9" s="12" t="s">
        <v>616</v>
      </c>
      <c r="G9" s="12" t="str">
        <f aca="false">"M6 ("&amp;TEXT(EDATE(Overview!$C$8,6-1),"mmm")&amp;")"</f>
        <v>M6 (Jun)</v>
      </c>
      <c r="H9" s="12" t="s">
        <v>82</v>
      </c>
    </row>
    <row r="10" customFormat="false" ht="30" hidden="false" customHeight="true" outlineLevel="0" collapsed="false">
      <c r="A10" s="13" t="s">
        <v>229</v>
      </c>
      <c r="B10" s="13" t="s">
        <v>617</v>
      </c>
      <c r="C10" s="12" t="s">
        <v>618</v>
      </c>
      <c r="D10" s="12" t="s">
        <v>619</v>
      </c>
      <c r="E10" s="12" t="s">
        <v>620</v>
      </c>
      <c r="F10" s="12" t="s">
        <v>621</v>
      </c>
      <c r="G10" s="12" t="str">
        <f aca="false">"M6 ("&amp;TEXT(EDATE(Overview!$C$8,6-1),"mmm")&amp;")"</f>
        <v>M6 (Jun)</v>
      </c>
      <c r="H10" s="12" t="s">
        <v>213</v>
      </c>
    </row>
    <row r="11" customFormat="false" ht="30" hidden="false" customHeight="true" outlineLevel="0" collapsed="false">
      <c r="A11" s="13" t="s">
        <v>316</v>
      </c>
      <c r="B11" s="19" t="s">
        <v>622</v>
      </c>
      <c r="C11" s="12" t="s">
        <v>623</v>
      </c>
      <c r="D11" s="12" t="s">
        <v>624</v>
      </c>
      <c r="E11" s="12" t="s">
        <v>625</v>
      </c>
      <c r="F11" s="12" t="s">
        <v>626</v>
      </c>
      <c r="G11" s="12" t="str">
        <f aca="false">"M12 ("&amp;TEXT(EDATE(Overview!$C$8,12-1),"mmm")&amp;")"</f>
        <v>M12 (Dec)</v>
      </c>
      <c r="H11" s="12" t="s">
        <v>252</v>
      </c>
    </row>
    <row r="12" customFormat="false" ht="30" hidden="false" customHeight="true" outlineLevel="0" collapsed="false">
      <c r="A12" s="13" t="s">
        <v>321</v>
      </c>
      <c r="B12" s="19" t="s">
        <v>322</v>
      </c>
      <c r="C12" s="12" t="s">
        <v>627</v>
      </c>
      <c r="D12" s="12" t="s">
        <v>628</v>
      </c>
      <c r="E12" s="12" t="s">
        <v>629</v>
      </c>
      <c r="F12" s="12" t="s">
        <v>630</v>
      </c>
      <c r="G12" s="12" t="str">
        <f aca="false">"M12 ("&amp;TEXT(EDATE(Overview!$C$8,12-1),"mmm")&amp;")"</f>
        <v>M12 (Dec)</v>
      </c>
      <c r="H12" s="12" t="s">
        <v>149</v>
      </c>
    </row>
    <row r="13" customFormat="false" ht="30" hidden="false" customHeight="true" outlineLevel="0" collapsed="false">
      <c r="A13" s="13" t="s">
        <v>250</v>
      </c>
      <c r="B13" s="19" t="s">
        <v>631</v>
      </c>
      <c r="C13" s="12" t="s">
        <v>632</v>
      </c>
      <c r="D13" s="12" t="s">
        <v>633</v>
      </c>
      <c r="E13" s="12" t="s">
        <v>634</v>
      </c>
      <c r="F13" s="12" t="s">
        <v>635</v>
      </c>
      <c r="G13" s="12" t="str">
        <f aca="false">"M8 ("&amp;TEXT(EDATE(Overview!$C$8,8-1),"mmm")&amp;")"</f>
        <v>M8 (Aug)</v>
      </c>
      <c r="H13" s="12" t="s">
        <v>252</v>
      </c>
    </row>
    <row r="14" customFormat="false" ht="16.5" hidden="false" customHeight="true" outlineLevel="0" collapsed="false">
      <c r="A14" s="13" t="s">
        <v>636</v>
      </c>
      <c r="B14" s="19" t="s">
        <v>637</v>
      </c>
      <c r="C14" s="12" t="s">
        <v>638</v>
      </c>
      <c r="D14" s="12" t="s">
        <v>639</v>
      </c>
      <c r="E14" s="12" t="s">
        <v>640</v>
      </c>
      <c r="F14" s="12" t="s">
        <v>641</v>
      </c>
      <c r="G14" s="12" t="str">
        <f aca="false">"M10 ("&amp;TEXT(EDATE(Overview!$C$8,10-1),"mmm")&amp;")"</f>
        <v>M10 (Oct)</v>
      </c>
      <c r="H14" s="12" t="s">
        <v>50</v>
      </c>
    </row>
    <row r="15" customFormat="false" ht="16.5" hidden="false" customHeight="true" outlineLevel="0" collapsed="false">
      <c r="A15" s="13" t="s">
        <v>269</v>
      </c>
      <c r="B15" s="19" t="s">
        <v>642</v>
      </c>
      <c r="C15" s="12" t="s">
        <v>643</v>
      </c>
      <c r="D15" s="12" t="s">
        <v>644</v>
      </c>
      <c r="E15" s="12" t="s">
        <v>645</v>
      </c>
      <c r="F15" s="12" t="s">
        <v>646</v>
      </c>
      <c r="G15" s="12" t="str">
        <f aca="false">"M9 ("&amp;TEXT(EDATE(Overview!$C$8,9-1),"mmm")&amp;")"</f>
        <v>M9 (Sep)</v>
      </c>
      <c r="H15" s="12" t="s">
        <v>44</v>
      </c>
    </row>
    <row r="16" customFormat="false" ht="16.5" hidden="false" customHeight="true" outlineLevel="0" collapsed="false">
      <c r="A16" s="13" t="s">
        <v>292</v>
      </c>
      <c r="B16" s="19" t="s">
        <v>293</v>
      </c>
      <c r="C16" s="12" t="s">
        <v>647</v>
      </c>
      <c r="D16" s="12" t="s">
        <v>648</v>
      </c>
      <c r="E16" s="12" t="s">
        <v>649</v>
      </c>
      <c r="F16" s="12" t="s">
        <v>650</v>
      </c>
      <c r="G16" s="12" t="str">
        <f aca="false">"M10 ("&amp;TEXT(EDATE(Overview!$C$8,10-1),"mmm")&amp;")"</f>
        <v>M10 (Oct)</v>
      </c>
      <c r="H16" s="12" t="s">
        <v>82</v>
      </c>
    </row>
    <row r="17" customFormat="false" ht="30" hidden="false" customHeight="true" outlineLevel="0" collapsed="false">
      <c r="A17" s="13" t="s">
        <v>300</v>
      </c>
      <c r="B17" s="19" t="s">
        <v>651</v>
      </c>
      <c r="C17" s="12" t="s">
        <v>652</v>
      </c>
      <c r="D17" s="12" t="s">
        <v>653</v>
      </c>
      <c r="E17" s="12" t="s">
        <v>654</v>
      </c>
      <c r="F17" s="12" t="s">
        <v>655</v>
      </c>
      <c r="G17" s="12" t="str">
        <f aca="false">"M11 ("&amp;TEXT(EDATE(Overview!$C$8,11-1),"mmm")&amp;")"</f>
        <v>M11 (Nov)</v>
      </c>
      <c r="H17" s="12" t="s">
        <v>44</v>
      </c>
    </row>
    <row r="18" customFormat="false" ht="30" hidden="false" customHeight="true" outlineLevel="0" collapsed="false">
      <c r="A18" s="13" t="s">
        <v>339</v>
      </c>
      <c r="B18" s="19" t="s">
        <v>340</v>
      </c>
      <c r="C18" s="12" t="s">
        <v>656</v>
      </c>
      <c r="D18" s="12" t="s">
        <v>657</v>
      </c>
      <c r="E18" s="12" t="s">
        <v>658</v>
      </c>
      <c r="F18" s="12" t="s">
        <v>659</v>
      </c>
      <c r="G18" s="12" t="str">
        <f aca="false">"M12 ("&amp;TEXT(EDATE(Overview!$C$8,12-1),"mmm")&amp;")"</f>
        <v>M12 (Dec)</v>
      </c>
      <c r="H18" s="12" t="s">
        <v>149</v>
      </c>
    </row>
    <row r="20" customFormat="false" ht="15" hidden="false" customHeight="false" outlineLevel="0" collapsed="false">
      <c r="A20" s="43" t="s">
        <v>660</v>
      </c>
      <c r="B20" s="43"/>
      <c r="C20" s="43"/>
      <c r="D20" s="43"/>
      <c r="E20" s="43"/>
      <c r="F20" s="43"/>
      <c r="G20" s="43"/>
      <c r="H20" s="43"/>
    </row>
  </sheetData>
  <mergeCells count="2">
    <mergeCell ref="A2:H2"/>
    <mergeCell ref="A20:H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26"/>
    <col collapsed="false" customWidth="true" hidden="false" outlineLevel="0" max="4" min="4" style="0" width="40"/>
    <col collapsed="false" customWidth="true" hidden="false" outlineLevel="0" max="5" min="5" style="0" width="16"/>
    <col collapsed="false" customWidth="true" hidden="false" outlineLevel="0" max="6" min="6" style="0" width="18"/>
    <col collapsed="false" customWidth="true" hidden="false" outlineLevel="0" max="7" min="7" style="0" width="38"/>
  </cols>
  <sheetData>
    <row r="1" customFormat="false" ht="24" hidden="false" customHeight="true" outlineLevel="0" collapsed="false">
      <c r="A1" s="1" t="s">
        <v>661</v>
      </c>
    </row>
    <row r="2" customFormat="false" ht="30" hidden="false" customHeight="true" outlineLevel="0" collapsed="false">
      <c r="A2" s="2" t="s">
        <v>662</v>
      </c>
      <c r="B2" s="2"/>
      <c r="C2" s="2"/>
      <c r="D2" s="2"/>
      <c r="E2" s="2"/>
      <c r="F2" s="2"/>
      <c r="G2" s="2"/>
    </row>
    <row r="4" customFormat="false" ht="15" hidden="false" customHeight="false" outlineLevel="0" collapsed="false">
      <c r="A4" s="11" t="s">
        <v>100</v>
      </c>
      <c r="B4" s="11" t="s">
        <v>367</v>
      </c>
      <c r="C4" s="11" t="s">
        <v>663</v>
      </c>
      <c r="D4" s="11" t="s">
        <v>664</v>
      </c>
      <c r="E4" s="11" t="s">
        <v>548</v>
      </c>
      <c r="F4" s="11" t="s">
        <v>4</v>
      </c>
      <c r="G4" s="11" t="s">
        <v>665</v>
      </c>
    </row>
    <row r="5" customFormat="false" ht="30" hidden="false" customHeight="true" outlineLevel="0" collapsed="false">
      <c r="A5" s="13" t="s">
        <v>125</v>
      </c>
      <c r="B5" s="13" t="s">
        <v>126</v>
      </c>
      <c r="C5" s="12" t="s">
        <v>666</v>
      </c>
      <c r="D5" s="12" t="s">
        <v>667</v>
      </c>
      <c r="E5" s="12" t="s">
        <v>668</v>
      </c>
      <c r="F5" s="12" t="s">
        <v>122</v>
      </c>
      <c r="G5" s="12" t="s">
        <v>669</v>
      </c>
    </row>
    <row r="6" customFormat="false" ht="16.5" hidden="false" customHeight="true" outlineLevel="0" collapsed="false">
      <c r="A6" s="13" t="s">
        <v>312</v>
      </c>
      <c r="B6" s="13" t="s">
        <v>670</v>
      </c>
      <c r="C6" s="12" t="s">
        <v>671</v>
      </c>
      <c r="D6" s="12" t="s">
        <v>672</v>
      </c>
      <c r="E6" s="12" t="s">
        <v>673</v>
      </c>
      <c r="F6" s="12" t="s">
        <v>50</v>
      </c>
      <c r="G6" s="12" t="s">
        <v>674</v>
      </c>
    </row>
    <row r="7" customFormat="false" ht="30" hidden="false" customHeight="true" outlineLevel="0" collapsed="false">
      <c r="A7" s="13" t="s">
        <v>167</v>
      </c>
      <c r="B7" s="13" t="s">
        <v>675</v>
      </c>
      <c r="C7" s="12" t="s">
        <v>676</v>
      </c>
      <c r="D7" s="12" t="s">
        <v>677</v>
      </c>
      <c r="E7" s="12" t="s">
        <v>678</v>
      </c>
      <c r="F7" s="12" t="s">
        <v>169</v>
      </c>
      <c r="G7" s="12" t="s">
        <v>679</v>
      </c>
    </row>
    <row r="8" customFormat="false" ht="30" hidden="false" customHeight="true" outlineLevel="0" collapsed="false">
      <c r="A8" s="13" t="s">
        <v>193</v>
      </c>
      <c r="B8" s="13" t="s">
        <v>680</v>
      </c>
      <c r="C8" s="12" t="s">
        <v>681</v>
      </c>
      <c r="D8" s="12" t="s">
        <v>682</v>
      </c>
      <c r="E8" s="12" t="s">
        <v>413</v>
      </c>
      <c r="F8" s="12" t="s">
        <v>50</v>
      </c>
      <c r="G8" s="12" t="s">
        <v>683</v>
      </c>
    </row>
    <row r="9" customFormat="false" ht="30" hidden="false" customHeight="true" outlineLevel="0" collapsed="false">
      <c r="A9" s="13" t="s">
        <v>241</v>
      </c>
      <c r="B9" s="13" t="s">
        <v>242</v>
      </c>
      <c r="C9" s="12" t="s">
        <v>684</v>
      </c>
      <c r="D9" s="12" t="s">
        <v>685</v>
      </c>
      <c r="E9" s="12" t="s">
        <v>431</v>
      </c>
      <c r="F9" s="12" t="s">
        <v>169</v>
      </c>
      <c r="G9" s="12" t="s">
        <v>686</v>
      </c>
    </row>
    <row r="10" customFormat="false" ht="30" hidden="false" customHeight="true" outlineLevel="0" collapsed="false">
      <c r="A10" s="13" t="s">
        <v>245</v>
      </c>
      <c r="B10" s="13" t="s">
        <v>687</v>
      </c>
      <c r="C10" s="12" t="s">
        <v>688</v>
      </c>
      <c r="D10" s="12" t="s">
        <v>689</v>
      </c>
      <c r="E10" s="12" t="s">
        <v>690</v>
      </c>
      <c r="F10" s="12" t="s">
        <v>247</v>
      </c>
      <c r="G10" s="12" t="s">
        <v>691</v>
      </c>
    </row>
    <row r="11" customFormat="false" ht="16.5" hidden="false" customHeight="true" outlineLevel="0" collapsed="false">
      <c r="A11" s="13" t="s">
        <v>296</v>
      </c>
      <c r="B11" s="13" t="s">
        <v>692</v>
      </c>
      <c r="C11" s="12" t="s">
        <v>693</v>
      </c>
      <c r="D11" s="12" t="s">
        <v>694</v>
      </c>
      <c r="E11" s="12" t="s">
        <v>695</v>
      </c>
      <c r="F11" s="12" t="s">
        <v>50</v>
      </c>
      <c r="G11" s="12" t="s">
        <v>696</v>
      </c>
    </row>
    <row r="12" customFormat="false" ht="16.5" hidden="false" customHeight="true" outlineLevel="0" collapsed="false">
      <c r="A12" s="13" t="s">
        <v>697</v>
      </c>
      <c r="B12" s="13" t="s">
        <v>698</v>
      </c>
      <c r="C12" s="12" t="s">
        <v>699</v>
      </c>
      <c r="D12" s="12" t="s">
        <v>700</v>
      </c>
      <c r="E12" s="12" t="s">
        <v>701</v>
      </c>
      <c r="F12" s="12" t="s">
        <v>164</v>
      </c>
      <c r="G12" s="12" t="s">
        <v>702</v>
      </c>
    </row>
    <row r="13" customFormat="false" ht="30" hidden="false" customHeight="true" outlineLevel="0" collapsed="false">
      <c r="A13" s="13" t="s">
        <v>304</v>
      </c>
      <c r="B13" s="13" t="s">
        <v>703</v>
      </c>
      <c r="C13" s="12" t="s">
        <v>704</v>
      </c>
      <c r="D13" s="12" t="s">
        <v>705</v>
      </c>
      <c r="E13" s="12" t="s">
        <v>706</v>
      </c>
      <c r="F13" s="12" t="s">
        <v>266</v>
      </c>
      <c r="G13" s="12" t="s">
        <v>707</v>
      </c>
    </row>
    <row r="14" customFormat="false" ht="30" hidden="false" customHeight="true" outlineLevel="0" collapsed="false">
      <c r="A14" s="13" t="s">
        <v>334</v>
      </c>
      <c r="B14" s="13" t="s">
        <v>335</v>
      </c>
      <c r="C14" s="12" t="s">
        <v>684</v>
      </c>
      <c r="D14" s="12" t="s">
        <v>708</v>
      </c>
      <c r="E14" s="12" t="s">
        <v>467</v>
      </c>
      <c r="F14" s="12" t="s">
        <v>336</v>
      </c>
      <c r="G14" s="12" t="s">
        <v>709</v>
      </c>
    </row>
    <row r="15" customFormat="false" ht="30" hidden="false" customHeight="true" outlineLevel="0" collapsed="false">
      <c r="A15" s="13" t="s">
        <v>351</v>
      </c>
      <c r="B15" s="13" t="s">
        <v>352</v>
      </c>
      <c r="C15" s="12" t="s">
        <v>710</v>
      </c>
      <c r="D15" s="12" t="s">
        <v>711</v>
      </c>
      <c r="E15" s="12" t="s">
        <v>467</v>
      </c>
      <c r="F15" s="12" t="s">
        <v>149</v>
      </c>
      <c r="G15" s="12" t="s">
        <v>712</v>
      </c>
    </row>
    <row r="17" customFormat="false" ht="30" hidden="false" customHeight="true" outlineLevel="0" collapsed="false">
      <c r="A17" s="25" t="s">
        <v>713</v>
      </c>
      <c r="B17" s="25"/>
      <c r="C17" s="25"/>
      <c r="D17" s="25"/>
      <c r="E17" s="25"/>
      <c r="F17" s="25"/>
      <c r="G17" s="25"/>
    </row>
  </sheetData>
  <mergeCells count="2">
    <mergeCell ref="A2:G2"/>
    <mergeCell ref="A17:G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14"/>
    <col collapsed="false" customWidth="true" hidden="false" outlineLevel="0" max="5" min="5" style="0" width="11"/>
    <col collapsed="false" customWidth="true" hidden="false" outlineLevel="0" max="6" min="6" style="0" width="13"/>
    <col collapsed="false" customWidth="true" hidden="false" outlineLevel="0" max="7" min="7" style="0" width="14"/>
    <col collapsed="false" customWidth="true" hidden="false" outlineLevel="0" max="8" min="8" style="0" width="13"/>
    <col collapsed="false" customWidth="true" hidden="false" outlineLevel="0" max="9" min="9" style="0" width="12"/>
    <col collapsed="false" customWidth="true" hidden="false" outlineLevel="0" max="10" min="10" style="0" width="38"/>
  </cols>
  <sheetData>
    <row r="1" customFormat="false" ht="24" hidden="false" customHeight="true" outlineLevel="0" collapsed="false">
      <c r="A1" s="1" t="s">
        <v>714</v>
      </c>
    </row>
    <row r="2" customFormat="false" ht="30" hidden="false" customHeight="true" outlineLevel="0" collapsed="false">
      <c r="A2" s="2" t="s">
        <v>715</v>
      </c>
      <c r="B2" s="2"/>
      <c r="C2" s="2"/>
      <c r="D2" s="2"/>
      <c r="E2" s="2"/>
      <c r="F2" s="2"/>
      <c r="G2" s="2"/>
      <c r="H2" s="2"/>
      <c r="I2" s="2"/>
      <c r="J2" s="2"/>
    </row>
    <row r="4" customFormat="false" ht="18.75" hidden="false" customHeight="true" outlineLevel="0" collapsed="false">
      <c r="A4" s="5" t="s">
        <v>716</v>
      </c>
      <c r="B4" s="5"/>
      <c r="C4" s="5"/>
      <c r="D4" s="5"/>
      <c r="E4" s="5"/>
      <c r="F4" s="5"/>
      <c r="G4" s="5"/>
      <c r="H4" s="5"/>
      <c r="I4" s="5"/>
      <c r="J4" s="5"/>
    </row>
    <row r="5" customFormat="false" ht="15" hidden="false" customHeight="false" outlineLevel="0" collapsed="false">
      <c r="A5" s="44" t="s">
        <v>717</v>
      </c>
      <c r="B5" s="44"/>
      <c r="C5" s="44"/>
      <c r="D5" s="45" t="n">
        <v>0.95</v>
      </c>
    </row>
    <row r="6" customFormat="false" ht="15" hidden="false" customHeight="false" outlineLevel="0" collapsed="false">
      <c r="A6" s="44" t="s">
        <v>718</v>
      </c>
      <c r="B6" s="44"/>
      <c r="C6" s="44"/>
      <c r="D6" s="46" t="n">
        <v>6</v>
      </c>
    </row>
    <row r="7" customFormat="false" ht="15" hidden="false" customHeight="false" outlineLevel="0" collapsed="false">
      <c r="A7" s="44" t="s">
        <v>719</v>
      </c>
      <c r="B7" s="44"/>
      <c r="C7" s="44"/>
      <c r="D7" s="46" t="n">
        <v>5</v>
      </c>
    </row>
    <row r="8" customFormat="false" ht="15" hidden="false" customHeight="false" outlineLevel="0" collapsed="false">
      <c r="A8" s="44" t="s">
        <v>720</v>
      </c>
      <c r="B8" s="44"/>
      <c r="C8" s="44"/>
      <c r="D8" s="46" t="n">
        <v>1</v>
      </c>
    </row>
    <row r="9" customFormat="false" ht="15" hidden="false" customHeight="false" outlineLevel="0" collapsed="false">
      <c r="A9" s="44" t="s">
        <v>721</v>
      </c>
      <c r="B9" s="44"/>
      <c r="C9" s="44"/>
      <c r="D9" s="46" t="n">
        <v>1</v>
      </c>
    </row>
    <row r="10" customFormat="false" ht="15" hidden="false" customHeight="false" outlineLevel="0" collapsed="false">
      <c r="A10" s="44" t="s">
        <v>722</v>
      </c>
      <c r="B10" s="44"/>
      <c r="C10" s="44"/>
      <c r="D10" s="46" t="n">
        <v>15</v>
      </c>
    </row>
    <row r="12" customFormat="false" ht="23.85" hidden="false" customHeight="false" outlineLevel="0" collapsed="false">
      <c r="A12" s="11" t="s">
        <v>364</v>
      </c>
      <c r="B12" s="11" t="s">
        <v>365</v>
      </c>
      <c r="C12" s="11" t="s">
        <v>723</v>
      </c>
      <c r="D12" s="11" t="s">
        <v>724</v>
      </c>
      <c r="E12" s="11" t="s">
        <v>725</v>
      </c>
      <c r="F12" s="11" t="s">
        <v>322</v>
      </c>
      <c r="G12" s="11" t="s">
        <v>726</v>
      </c>
      <c r="H12" s="11" t="s">
        <v>727</v>
      </c>
      <c r="I12" s="11" t="s">
        <v>728</v>
      </c>
      <c r="J12" s="11" t="s">
        <v>729</v>
      </c>
    </row>
    <row r="13" customFormat="false" ht="15" hidden="false" customHeight="false" outlineLevel="0" collapsed="false">
      <c r="A13" s="13" t="s">
        <v>431</v>
      </c>
      <c r="B13" s="12" t="str">
        <f aca="false">TEXT(EDATE(Overview!$C$8,7-1),"mmm yyyy")</f>
        <v>Jul 2027</v>
      </c>
      <c r="C13" s="47"/>
      <c r="D13" s="48"/>
      <c r="E13" s="39"/>
      <c r="F13" s="39"/>
      <c r="G13" s="39"/>
      <c r="H13" s="39"/>
      <c r="I13" s="13" t="str">
        <f aca="false">IF(COUNT(C13:H13)&lt;6,"Pending",IF(AND(C13&gt;=$D$5,D13&lt;=$D$6,E13&gt;=$D$7,F13&gt;=0,G13&gt;=$D$9,H13&gt;=$D$10),"PASS","FAIL"))</f>
        <v>Pending</v>
      </c>
      <c r="J13" s="27"/>
    </row>
    <row r="14" customFormat="false" ht="15" hidden="false" customHeight="false" outlineLevel="0" collapsed="false">
      <c r="A14" s="13" t="s">
        <v>441</v>
      </c>
      <c r="B14" s="12" t="str">
        <f aca="false">TEXT(EDATE(Overview!$C$8,8-1),"mmm yyyy")</f>
        <v>Aug 2027</v>
      </c>
      <c r="C14" s="47"/>
      <c r="D14" s="48"/>
      <c r="E14" s="39"/>
      <c r="F14" s="39"/>
      <c r="G14" s="39"/>
      <c r="H14" s="39"/>
      <c r="I14" s="13" t="str">
        <f aca="false">IF(COUNT(C14:H14)&lt;6,"Pending",IF(AND(C14&gt;=$D$5,D14&lt;=$D$6,E14&gt;=$D$7,F14&gt;=$D$8,G14&gt;=$D$9,H14&gt;=$D$10),"PASS","FAIL"))</f>
        <v>Pending</v>
      </c>
      <c r="J14" s="27"/>
    </row>
    <row r="15" customFormat="false" ht="15" hidden="false" customHeight="false" outlineLevel="0" collapsed="false">
      <c r="A15" s="13" t="s">
        <v>448</v>
      </c>
      <c r="B15" s="12" t="str">
        <f aca="false">TEXT(EDATE(Overview!$C$8,9-1),"mmm yyyy")</f>
        <v>Sep 2027</v>
      </c>
      <c r="C15" s="47"/>
      <c r="D15" s="48"/>
      <c r="E15" s="39"/>
      <c r="F15" s="39"/>
      <c r="G15" s="39"/>
      <c r="H15" s="39"/>
      <c r="I15" s="13" t="str">
        <f aca="false">IF(COUNT(C15:H15)&lt;6,"Pending",IF(AND(C15&gt;=$D$5,D15&lt;=$D$6,E15&gt;=$D$7,F15&gt;=$D$8,G15&gt;=$D$9,H15&gt;=$D$10),"PASS","FAIL"))</f>
        <v>Pending</v>
      </c>
      <c r="J15" s="27"/>
    </row>
    <row r="16" customFormat="false" ht="15" hidden="false" customHeight="false" outlineLevel="0" collapsed="false">
      <c r="A16" s="13" t="s">
        <v>456</v>
      </c>
      <c r="B16" s="12" t="str">
        <f aca="false">TEXT(EDATE(Overview!$C$8,10-1),"mmm yyyy")</f>
        <v>Oct 2027</v>
      </c>
      <c r="C16" s="47"/>
      <c r="D16" s="48"/>
      <c r="E16" s="39"/>
      <c r="F16" s="39"/>
      <c r="G16" s="39"/>
      <c r="H16" s="39"/>
      <c r="I16" s="13" t="str">
        <f aca="false">IF(COUNT(C16:H16)&lt;6,"Pending",IF(AND(C16&gt;=$D$5,D16&lt;=$D$6,E16&gt;=$D$7,F16&gt;=$D$8,G16&gt;=$D$9,H16&gt;=$D$10),"PASS","FAIL"))</f>
        <v>Pending</v>
      </c>
      <c r="J16" s="27"/>
    </row>
    <row r="17" customFormat="false" ht="15" hidden="false" customHeight="false" outlineLevel="0" collapsed="false">
      <c r="A17" s="13" t="s">
        <v>462</v>
      </c>
      <c r="B17" s="12" t="str">
        <f aca="false">TEXT(EDATE(Overview!$C$8,11-1),"mmm yyyy")</f>
        <v>Nov 2027</v>
      </c>
      <c r="C17" s="47"/>
      <c r="D17" s="48"/>
      <c r="E17" s="39"/>
      <c r="F17" s="39"/>
      <c r="G17" s="39"/>
      <c r="H17" s="39"/>
      <c r="I17" s="13" t="str">
        <f aca="false">IF(COUNT(C17:H17)&lt;6,"Pending",IF(AND(C17&gt;=$D$5,D17&lt;=$D$6,E17&gt;=$D$7,F17&gt;=$D$8,G17&gt;=$D$9,H17&gt;=$D$10),"PASS","FAIL"))</f>
        <v>Pending</v>
      </c>
      <c r="J17" s="27"/>
    </row>
    <row r="18" customFormat="false" ht="15" hidden="false" customHeight="false" outlineLevel="0" collapsed="false">
      <c r="A18" s="13" t="s">
        <v>467</v>
      </c>
      <c r="B18" s="12" t="str">
        <f aca="false">TEXT(EDATE(Overview!$C$8,12-1),"mmm yyyy")</f>
        <v>Dec 2027</v>
      </c>
      <c r="C18" s="47"/>
      <c r="D18" s="48"/>
      <c r="E18" s="39"/>
      <c r="F18" s="39"/>
      <c r="G18" s="39"/>
      <c r="H18" s="39"/>
      <c r="I18" s="13" t="str">
        <f aca="false">IF(COUNT(C18:H18)&lt;6,"Pending",IF(AND(C18&gt;=$D$5,D18&lt;=$D$6,E18&gt;=$D$7,F18&gt;=$D$8,G18&gt;=$D$9,H18&gt;=$D$10),"PASS","FAIL"))</f>
        <v>Pending</v>
      </c>
      <c r="J18" s="27"/>
    </row>
    <row r="20" customFormat="false" ht="23.85" hidden="false" customHeight="false" outlineLevel="0" collapsed="false">
      <c r="A20" s="49" t="s">
        <v>730</v>
      </c>
      <c r="B20" s="49"/>
      <c r="C20" s="3" t="str">
        <f aca="false">COUNTIF(I13:I18,"PASS")&amp;" of 6"</f>
        <v>0 of 6</v>
      </c>
      <c r="J20" s="9" t="s">
        <v>731</v>
      </c>
    </row>
  </sheetData>
  <mergeCells count="9">
    <mergeCell ref="A2:J2"/>
    <mergeCell ref="A4:J4"/>
    <mergeCell ref="A5:C5"/>
    <mergeCell ref="A6:C6"/>
    <mergeCell ref="A7:C7"/>
    <mergeCell ref="A8:C8"/>
    <mergeCell ref="A9:C9"/>
    <mergeCell ref="A10:C10"/>
    <mergeCell ref="A20:B20"/>
  </mergeCells>
  <conditionalFormatting sqref="I13:I18">
    <cfRule type="cellIs" priority="2" operator="equal" aboveAverage="0" equalAverage="0" bottom="0" percent="0" rank="0" text="" dxfId="10">
      <formula>"PASS"</formula>
    </cfRule>
    <cfRule type="cellIs" priority="3" operator="equal" aboveAverage="0" equalAverage="0" bottom="0" percent="0" rank="0" text="" dxfId="11">
      <formula>"FAIL"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16"/>
    <col collapsed="false" customWidth="true" hidden="false" outlineLevel="0" max="5" min="5" style="0" width="60"/>
  </cols>
  <sheetData>
    <row r="1" customFormat="false" ht="24" hidden="false" customHeight="true" outlineLevel="0" collapsed="false">
      <c r="A1" s="1" t="s">
        <v>732</v>
      </c>
    </row>
    <row r="2" customFormat="false" ht="30" hidden="false" customHeight="true" outlineLevel="0" collapsed="false">
      <c r="A2" s="2" t="s">
        <v>733</v>
      </c>
      <c r="B2" s="2"/>
      <c r="C2" s="2"/>
      <c r="D2" s="2"/>
      <c r="E2" s="2"/>
    </row>
    <row r="4" customFormat="false" ht="18.75" hidden="false" customHeight="true" outlineLevel="0" collapsed="false">
      <c r="A4" s="5" t="s">
        <v>64</v>
      </c>
      <c r="B4" s="5"/>
      <c r="C4" s="5"/>
      <c r="D4" s="5"/>
      <c r="E4" s="5"/>
    </row>
    <row r="5" customFormat="false" ht="15" hidden="false" customHeight="false" outlineLevel="0" collapsed="false">
      <c r="A5" s="3" t="s">
        <v>61</v>
      </c>
      <c r="B5" s="50" t="n">
        <f aca="false">EOMONTH(Overview!$C$8,2-1)</f>
        <v>46446</v>
      </c>
    </row>
    <row r="6" customFormat="false" ht="15" hidden="false" customHeight="false" outlineLevel="0" collapsed="false">
      <c r="A6" s="11" t="s">
        <v>734</v>
      </c>
      <c r="B6" s="11" t="s">
        <v>100</v>
      </c>
      <c r="C6" s="11" t="s">
        <v>104</v>
      </c>
      <c r="D6" s="11" t="s">
        <v>2</v>
      </c>
      <c r="E6" s="11" t="s">
        <v>735</v>
      </c>
    </row>
    <row r="7" customFormat="false" ht="43.5" hidden="false" customHeight="true" outlineLevel="0" collapsed="false">
      <c r="A7" s="12" t="str">
        <f aca="false">INDEX(Deliverables!$C$5:$C$61,MATCH(B7,Deliverables!$A$5:$A$61,0))</f>
        <v>LGU agreement and MDRRMO commitment</v>
      </c>
      <c r="B7" s="13" t="s">
        <v>129</v>
      </c>
      <c r="C7" s="14" t="n">
        <f aca="false">INDEX(Deliverables!$F$5:$F$61,MATCH(B7,Deliverables!$A$5:$A$61,0))</f>
        <v>46446</v>
      </c>
      <c r="D7" s="13" t="str">
        <f aca="false">INDEX(Deliverables!$K$5:$K$61,MATCH(B7,Deliverables!$A$5:$A$61,0))</f>
        <v>Not started</v>
      </c>
      <c r="E7" s="12" t="str">
        <f aca="false">INDEX(Deliverables!$H$5:$H$61,MATCH(B7,Deliverables!$A$5:$A$61,0))</f>
        <v>Signed MOA or LOI covering host buoys, boat access, 2 gateway sites and permits; MDRRMO agrees to monitor alerts and run drills.</v>
      </c>
    </row>
    <row r="8" customFormat="false" ht="30" hidden="false" customHeight="true" outlineLevel="0" collapsed="false">
      <c r="A8" s="3" t="s">
        <v>736</v>
      </c>
      <c r="D8" s="3" t="str">
        <f aca="false">IF(COUNTIF(D7:D7,"Done")=1,"MET","NOT YET")</f>
        <v>NOT YET</v>
      </c>
      <c r="E8" s="51" t="s">
        <v>737</v>
      </c>
    </row>
    <row r="10" customFormat="false" ht="18.75" hidden="false" customHeight="true" outlineLevel="0" collapsed="false">
      <c r="A10" s="5" t="s">
        <v>67</v>
      </c>
      <c r="B10" s="5"/>
      <c r="C10" s="5"/>
      <c r="D10" s="5"/>
      <c r="E10" s="5"/>
    </row>
    <row r="11" customFormat="false" ht="15" hidden="false" customHeight="false" outlineLevel="0" collapsed="false">
      <c r="A11" s="3" t="s">
        <v>61</v>
      </c>
      <c r="B11" s="50" t="n">
        <f aca="false">EOMONTH(Overview!$C$8,6-1)</f>
        <v>46568</v>
      </c>
    </row>
    <row r="12" customFormat="false" ht="15" hidden="false" customHeight="false" outlineLevel="0" collapsed="false">
      <c r="A12" s="11" t="s">
        <v>734</v>
      </c>
      <c r="B12" s="11" t="s">
        <v>100</v>
      </c>
      <c r="C12" s="11" t="s">
        <v>104</v>
      </c>
      <c r="D12" s="11" t="s">
        <v>2</v>
      </c>
      <c r="E12" s="11" t="s">
        <v>735</v>
      </c>
    </row>
    <row r="13" customFormat="false" ht="43.5" hidden="false" customHeight="true" outlineLevel="0" collapsed="false">
      <c r="A13" s="12" t="str">
        <f aca="false">INDEX(Deliverables!$C$5:$C$61,MATCH(B13,Deliverables!$A$5:$A$61,0))</f>
        <v>SOS response procedure (SOP) signed with MDRRMO</v>
      </c>
      <c r="B13" s="13" t="s">
        <v>187</v>
      </c>
      <c r="C13" s="14" t="n">
        <f aca="false">INDEX(Deliverables!$F$5:$F$61,MATCH(B13,Deliverables!$A$5:$A$61,0))</f>
        <v>46538</v>
      </c>
      <c r="D13" s="13" t="str">
        <f aca="false">INDEX(Deliverables!$K$5:$K$61,MATCH(B13,Deliverables!$A$5:$A$61,0))</f>
        <v>Not started</v>
      </c>
      <c r="E13" s="12" t="str">
        <f aca="false">INDEX(Deliverables!$H$5:$H$61,MATCH(B13,Deliverables!$A$5:$A$61,0))</f>
        <v>Written SOP: who acknowledges an SOS, target times, escalation to Coast Guard and BFAR, contact tree; signed off by the MDRRMO head.</v>
      </c>
    </row>
    <row r="14" customFormat="false" ht="43.5" hidden="false" customHeight="true" outlineLevel="0" collapsed="false">
      <c r="A14" s="12" t="str">
        <f aca="false">INDEX(Deliverables!$C$5:$C$61,MATCH(B14,Deliverables!$A$5:$A$61,0))</f>
        <v>MDRRMO operator training</v>
      </c>
      <c r="B14" s="13" t="s">
        <v>201</v>
      </c>
      <c r="C14" s="14" t="n">
        <f aca="false">INDEX(Deliverables!$F$5:$F$61,MATCH(B14,Deliverables!$A$5:$A$61,0))</f>
        <v>46568</v>
      </c>
      <c r="D14" s="13" t="str">
        <f aca="false">INDEX(Deliverables!$K$5:$K$61,MATCH(B14,Deliverables!$A$5:$A$61,0))</f>
        <v>Not started</v>
      </c>
      <c r="E14" s="12" t="str">
        <f aca="false">INDEX(Deliverables!$H$5:$H$61,MATCH(B14,Deliverables!$A$5:$A$61,0))</f>
        <v>All operators on the duty rota (at least 4) trained; each acknowledges a test SOS on the dashboard within 2 minutes; post-test score 80% or higher.</v>
      </c>
    </row>
    <row r="15" customFormat="false" ht="43.5" hidden="false" customHeight="true" outlineLevel="0" collapsed="false">
      <c r="A15" s="12" t="str">
        <f aca="false">INDEX(Deliverables!$C$5:$C$61,MATCH(B15,Deliverables!$A$5:$A$61,0))</f>
        <v>Fisher training batches and competency check</v>
      </c>
      <c r="B15" s="13" t="s">
        <v>220</v>
      </c>
      <c r="C15" s="14" t="n">
        <f aca="false">INDEX(Deliverables!$F$5:$F$61,MATCH(B15,Deliverables!$A$5:$A$61,0))</f>
        <v>46568</v>
      </c>
      <c r="D15" s="13" t="str">
        <f aca="false">INDEX(Deliverables!$K$5:$K$61,MATCH(B15,Deliverables!$A$5:$A$61,0))</f>
        <v>Not started</v>
      </c>
      <c r="E15" s="12" t="str">
        <f aca="false">INDEX(Deliverables!$H$5:$H$61,MATCH(B15,Deliverables!$A$5:$A$61,0))</f>
        <v>3 batches covering all 20 boats (1-2 fishers per boat). Every fisher sends an SOS and charges a pod without help before receiving a pod; pre/post test gain recorded.</v>
      </c>
    </row>
    <row r="16" customFormat="false" ht="43.5" hidden="false" customHeight="true" outlineLevel="0" collapsed="false">
      <c r="A16" s="12" t="str">
        <f aca="false">INDEX(Deliverables!$C$5:$C$61,MATCH(B16,Deliverables!$A$5:$A$61,0))</f>
        <v>20 boats onboarded</v>
      </c>
      <c r="B16" s="13" t="s">
        <v>225</v>
      </c>
      <c r="C16" s="14" t="n">
        <f aca="false">INDEX(Deliverables!$F$5:$F$61,MATCH(B16,Deliverables!$A$5:$A$61,0))</f>
        <v>46568</v>
      </c>
      <c r="D16" s="13" t="str">
        <f aca="false">INDEX(Deliverables!$K$5:$K$61,MATCH(B16,Deliverables!$A$5:$A$61,0))</f>
        <v>Not started</v>
      </c>
      <c r="E16" s="12" t="str">
        <f aca="false">INDEX(Deliverables!$H$5:$H$61,MATCH(B16,Deliverables!$A$5:$A$61,0))</f>
        <v>20 boats have pods; consent forms signed; pod serial numbers matched to boats in the dashboard.</v>
      </c>
    </row>
    <row r="17" customFormat="false" ht="43.5" hidden="false" customHeight="true" outlineLevel="0" collapsed="false">
      <c r="A17" s="12" t="str">
        <f aca="false">INDEX(Deliverables!$C$5:$C$61,MATCH(B17,Deliverables!$A$5:$A$61,0))</f>
        <v>SOS acceptance test passed (go-live)</v>
      </c>
      <c r="B17" s="13" t="s">
        <v>229</v>
      </c>
      <c r="C17" s="14" t="n">
        <f aca="false">INDEX(Deliverables!$F$5:$F$61,MATCH(B17,Deliverables!$A$5:$A$61,0))</f>
        <v>46568</v>
      </c>
      <c r="D17" s="13" t="str">
        <f aca="false">INDEX(Deliverables!$K$5:$K$61,MATCH(B17,Deliverables!$A$5:$A$61,0))</f>
        <v>Not started</v>
      </c>
      <c r="E17" s="12" t="str">
        <f aca="false">INDEX(Deliverables!$H$5:$H$61,MATCH(B17,Deliverables!$A$5:$A$61,0))</f>
        <v>At least 30 drills at 3+ locations; 95%+ reach the dashboard within 2 min; MDRRMO acknowledges within 10 min; gateway power-loss and carrier-loss tests passed.</v>
      </c>
    </row>
    <row r="18" customFormat="false" ht="30" hidden="false" customHeight="true" outlineLevel="0" collapsed="false">
      <c r="A18" s="3" t="s">
        <v>736</v>
      </c>
      <c r="D18" s="3" t="str">
        <f aca="false">IF(COUNTIF(D13:D17,"Done")=5,"MET","NOT YET")</f>
        <v>NOT YET</v>
      </c>
      <c r="E18" s="51" t="s">
        <v>738</v>
      </c>
    </row>
    <row r="20" customFormat="false" ht="18.75" hidden="false" customHeight="true" outlineLevel="0" collapsed="false">
      <c r="A20" s="5" t="s">
        <v>739</v>
      </c>
      <c r="B20" s="5"/>
      <c r="C20" s="5"/>
      <c r="D20" s="5"/>
      <c r="E20" s="5"/>
    </row>
    <row r="21" customFormat="false" ht="15" hidden="false" customHeight="false" outlineLevel="0" collapsed="false">
      <c r="A21" s="3" t="s">
        <v>61</v>
      </c>
      <c r="B21" s="50" t="n">
        <f aca="false">EOMONTH(Overview!$C$8,12-1)</f>
        <v>46752</v>
      </c>
    </row>
    <row r="22" customFormat="false" ht="15" hidden="false" customHeight="false" outlineLevel="0" collapsed="false">
      <c r="A22" s="11" t="s">
        <v>734</v>
      </c>
      <c r="B22" s="11" t="s">
        <v>100</v>
      </c>
      <c r="C22" s="11" t="s">
        <v>104</v>
      </c>
      <c r="D22" s="11" t="s">
        <v>2</v>
      </c>
      <c r="E22" s="11" t="s">
        <v>735</v>
      </c>
    </row>
    <row r="23" customFormat="false" ht="43.5" hidden="false" customHeight="true" outlineLevel="0" collapsed="false">
      <c r="A23" s="12" t="str">
        <f aca="false">INDEX(Deliverables!$C$5:$C$61,MATCH(B23,Deliverables!$A$5:$A$61,0))</f>
        <v>SOS acceptance test passed (go-live)</v>
      </c>
      <c r="B23" s="13" t="s">
        <v>229</v>
      </c>
      <c r="C23" s="14" t="n">
        <f aca="false">INDEX(Deliverables!$F$5:$F$61,MATCH(B23,Deliverables!$A$5:$A$61,0))</f>
        <v>46568</v>
      </c>
      <c r="D23" s="13" t="str">
        <f aca="false">INDEX(Deliverables!$K$5:$K$61,MATCH(B23,Deliverables!$A$5:$A$61,0))</f>
        <v>Not started</v>
      </c>
      <c r="E23" s="12" t="str">
        <f aca="false">INDEX(Deliverables!$H$5:$H$61,MATCH(B23,Deliverables!$A$5:$A$61,0))</f>
        <v>At least 30 drills at 3+ locations; 95%+ reach the dashboard within 2 min; MDRRMO acknowledges within 10 min; gateway power-loss and carrier-loss tests passed.</v>
      </c>
    </row>
    <row r="24" customFormat="false" ht="43.5" hidden="false" customHeight="true" outlineLevel="0" collapsed="false">
      <c r="A24" s="12" t="str">
        <f aca="false">INDEX(Deliverables!$C$5:$C$61,MATCH(B24,Deliverables!$A$5:$A$61,0))</f>
        <v>Six-month validation period (supported SOS operation)</v>
      </c>
      <c r="B24" s="13" t="s">
        <v>316</v>
      </c>
      <c r="C24" s="14" t="n">
        <f aca="false">INDEX(Deliverables!$F$5:$F$61,MATCH(B24,Deliverables!$A$5:$A$61,0))</f>
        <v>46752</v>
      </c>
      <c r="D24" s="13" t="str">
        <f aca="false">INDEX(Deliverables!$K$5:$K$61,MATCH(B24,Deliverables!$A$5:$A$61,0))</f>
        <v>Not started</v>
      </c>
      <c r="E24" s="12" t="str">
        <f aca="false">INDEX(Deliverables!$H$5:$H$61,MATCH(B24,Deliverables!$A$5:$A$61,0))</f>
        <v>Every month meets the Monthly Ops targets: uptime, longest outage, drills (including unannounced), inspections, active pods.</v>
      </c>
    </row>
    <row r="25" customFormat="false" ht="43.5" hidden="false" customHeight="true" outlineLevel="0" collapsed="false">
      <c r="A25" s="12" t="str">
        <f aca="false">INDEX(Deliverables!$C$5:$C$61,MATCH(B25,Deliverables!$A$5:$A$61,0))</f>
        <v>Actual cost report</v>
      </c>
      <c r="B25" s="13" t="s">
        <v>278</v>
      </c>
      <c r="C25" s="14" t="n">
        <f aca="false">INDEX(Deliverables!$F$5:$F$61,MATCH(B25,Deliverables!$A$5:$A$61,0))</f>
        <v>46660</v>
      </c>
      <c r="D25" s="13" t="str">
        <f aca="false">INDEX(Deliverables!$K$5:$K$61,MATCH(B25,Deliverables!$A$5:$A$61,0))</f>
        <v>Not started</v>
      </c>
      <c r="E25" s="12" t="str">
        <f aca="false">INDEX(Deliverables!$H$5:$H$61,MATCH(B25,Deliverables!$A$5:$A$61,0))</f>
        <v>Real cost of buoy node, pod and gateway vs budget, with variances explained.</v>
      </c>
    </row>
    <row r="26" customFormat="false" ht="43.5" hidden="false" customHeight="true" outlineLevel="0" collapsed="false">
      <c r="A26" s="12" t="str">
        <f aca="false">INDEX(Deliverables!$C$5:$C$61,MATCH(B26,Deliverables!$A$5:$A$61,0))</f>
        <v>Year 2 commitment from New Washington</v>
      </c>
      <c r="B26" s="13" t="s">
        <v>308</v>
      </c>
      <c r="C26" s="14" t="n">
        <f aca="false">INDEX(Deliverables!$F$5:$F$61,MATCH(B26,Deliverables!$A$5:$A$61,0))</f>
        <v>46721</v>
      </c>
      <c r="D26" s="13" t="str">
        <f aca="false">INDEX(Deliverables!$K$5:$K$61,MATCH(B26,Deliverables!$A$5:$A$61,0))</f>
        <v>Not started</v>
      </c>
      <c r="E26" s="12" t="str">
        <f aca="false">INDEX(Deliverables!$H$5:$H$61,MATCH(B26,Deliverables!$A$5:$A$61,0))</f>
        <v>Paid Year 2 agreement or LOI signed.</v>
      </c>
    </row>
    <row r="27" customFormat="false" ht="30" hidden="false" customHeight="true" outlineLevel="0" collapsed="false">
      <c r="A27" s="3" t="s">
        <v>736</v>
      </c>
      <c r="D27" s="3" t="str">
        <f aca="false">IF(COUNTIF(D23:D26,"Done")=4,"MET","NOT YET")</f>
        <v>NOT YET</v>
      </c>
      <c r="E27" s="51" t="s">
        <v>740</v>
      </c>
    </row>
    <row r="29" customFormat="false" ht="30" hidden="false" customHeight="true" outlineLevel="0" collapsed="false">
      <c r="A29" s="25" t="s">
        <v>741</v>
      </c>
      <c r="B29" s="25"/>
      <c r="C29" s="25"/>
      <c r="D29" s="25"/>
      <c r="E29" s="25"/>
    </row>
  </sheetData>
  <mergeCells count="5">
    <mergeCell ref="A2:E2"/>
    <mergeCell ref="A4:E4"/>
    <mergeCell ref="A10:E10"/>
    <mergeCell ref="A20:E20"/>
    <mergeCell ref="A29:E29"/>
  </mergeCells>
  <conditionalFormatting sqref="D8">
    <cfRule type="cellIs" priority="2" operator="equal" aboveAverage="0" equalAverage="0" bottom="0" percent="0" rank="0" text="" dxfId="10">
      <formula>"MET"</formula>
    </cfRule>
  </conditionalFormatting>
  <conditionalFormatting sqref="D18">
    <cfRule type="cellIs" priority="3" operator="equal" aboveAverage="0" equalAverage="0" bottom="0" percent="0" rank="0" text="" dxfId="10">
      <formula>"MET"</formula>
    </cfRule>
  </conditionalFormatting>
  <conditionalFormatting sqref="D27">
    <cfRule type="cellIs" priority="4" operator="equal" aboveAverage="0" equalAverage="0" bottom="0" percent="0" rank="0" text="" dxfId="10">
      <formula>"MET"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19" man="true" max="16383" min="0"/>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10"/>
    <col collapsed="false" customWidth="true" hidden="false" outlineLevel="0" max="4" min="4" style="0" width="14"/>
    <col collapsed="false" customWidth="true" hidden="false" outlineLevel="0" max="5" min="5" style="0" width="16"/>
    <col collapsed="false" customWidth="true" hidden="false" outlineLevel="0" max="6" min="6" style="0" width="50"/>
  </cols>
  <sheetData>
    <row r="1" customFormat="false" ht="24" hidden="false" customHeight="true" outlineLevel="0" collapsed="false">
      <c r="A1" s="1" t="s">
        <v>742</v>
      </c>
    </row>
    <row r="2" customFormat="false" ht="30" hidden="false" customHeight="true" outlineLevel="0" collapsed="false">
      <c r="A2" s="2" t="s">
        <v>743</v>
      </c>
      <c r="B2" s="2"/>
      <c r="C2" s="2"/>
      <c r="D2" s="2"/>
      <c r="E2" s="2"/>
      <c r="F2" s="2"/>
    </row>
    <row r="4" customFormat="false" ht="15" hidden="false" customHeight="false" outlineLevel="0" collapsed="false">
      <c r="A4" s="11" t="s">
        <v>744</v>
      </c>
      <c r="B4" s="11" t="s">
        <v>745</v>
      </c>
      <c r="C4" s="11" t="s">
        <v>746</v>
      </c>
      <c r="D4" s="11" t="s">
        <v>747</v>
      </c>
      <c r="E4" s="11" t="s">
        <v>748</v>
      </c>
      <c r="F4" s="11" t="s">
        <v>749</v>
      </c>
    </row>
    <row r="5" customFormat="false" ht="30" hidden="false" customHeight="true" outlineLevel="0" collapsed="false">
      <c r="A5" s="13" t="s">
        <v>750</v>
      </c>
      <c r="B5" s="12" t="s">
        <v>751</v>
      </c>
      <c r="C5" s="52" t="n">
        <v>50</v>
      </c>
      <c r="D5" s="53" t="n">
        <v>150</v>
      </c>
      <c r="E5" s="54" t="n">
        <f aca="false">C5*D5</f>
        <v>7500</v>
      </c>
      <c r="F5" s="12" t="s">
        <v>752</v>
      </c>
    </row>
    <row r="6" customFormat="false" ht="16.5" hidden="false" customHeight="true" outlineLevel="0" collapsed="false">
      <c r="A6" s="13" t="s">
        <v>273</v>
      </c>
      <c r="B6" s="12" t="s">
        <v>753</v>
      </c>
      <c r="C6" s="52" t="n">
        <v>40</v>
      </c>
      <c r="D6" s="53" t="n">
        <v>150</v>
      </c>
      <c r="E6" s="54" t="n">
        <f aca="false">C6*D6</f>
        <v>6000</v>
      </c>
      <c r="F6" s="12" t="s">
        <v>754</v>
      </c>
    </row>
    <row r="7" customFormat="false" ht="30" hidden="false" customHeight="true" outlineLevel="0" collapsed="false">
      <c r="A7" s="13" t="s">
        <v>755</v>
      </c>
      <c r="B7" s="12" t="s">
        <v>756</v>
      </c>
      <c r="C7" s="52" t="n">
        <v>30</v>
      </c>
      <c r="D7" s="53" t="n">
        <v>150</v>
      </c>
      <c r="E7" s="54" t="n">
        <f aca="false">C7*D7</f>
        <v>4500</v>
      </c>
      <c r="F7" s="12" t="s">
        <v>757</v>
      </c>
    </row>
    <row r="8" customFormat="false" ht="16.5" hidden="false" customHeight="true" outlineLevel="0" collapsed="false">
      <c r="A8" s="13" t="s">
        <v>411</v>
      </c>
      <c r="B8" s="12" t="s">
        <v>758</v>
      </c>
      <c r="C8" s="52" t="n">
        <v>60</v>
      </c>
      <c r="D8" s="53" t="n">
        <v>50</v>
      </c>
      <c r="E8" s="54" t="n">
        <f aca="false">C8*D8</f>
        <v>3000</v>
      </c>
      <c r="F8" s="12" t="s">
        <v>759</v>
      </c>
    </row>
    <row r="9" customFormat="false" ht="16.5" hidden="false" customHeight="true" outlineLevel="0" collapsed="false">
      <c r="A9" s="13" t="s">
        <v>167</v>
      </c>
      <c r="B9" s="12" t="s">
        <v>760</v>
      </c>
      <c r="C9" s="52" t="n">
        <v>120</v>
      </c>
      <c r="D9" s="53" t="n">
        <v>60</v>
      </c>
      <c r="E9" s="54" t="n">
        <f aca="false">C9*D9</f>
        <v>7200</v>
      </c>
      <c r="F9" s="12" t="s">
        <v>761</v>
      </c>
    </row>
    <row r="10" customFormat="false" ht="30" hidden="false" customHeight="true" outlineLevel="0" collapsed="false">
      <c r="A10" s="13" t="s">
        <v>193</v>
      </c>
      <c r="B10" s="12" t="s">
        <v>762</v>
      </c>
      <c r="C10" s="52" t="n">
        <v>6</v>
      </c>
      <c r="D10" s="53" t="n">
        <v>800</v>
      </c>
      <c r="E10" s="54" t="n">
        <f aca="false">C10*D10</f>
        <v>4800</v>
      </c>
      <c r="F10" s="12" t="s">
        <v>763</v>
      </c>
    </row>
    <row r="11" customFormat="false" ht="16.5" hidden="false" customHeight="true" outlineLevel="0" collapsed="false">
      <c r="A11" s="13" t="s">
        <v>193</v>
      </c>
      <c r="B11" s="12" t="s">
        <v>764</v>
      </c>
      <c r="C11" s="52" t="n">
        <v>500</v>
      </c>
      <c r="D11" s="53" t="n">
        <v>6</v>
      </c>
      <c r="E11" s="54" t="n">
        <f aca="false">C11*D11</f>
        <v>3000</v>
      </c>
      <c r="F11" s="12" t="s">
        <v>765</v>
      </c>
    </row>
    <row r="12" customFormat="false" ht="16.5" hidden="false" customHeight="true" outlineLevel="0" collapsed="false">
      <c r="A12" s="13" t="s">
        <v>241</v>
      </c>
      <c r="B12" s="12" t="s">
        <v>766</v>
      </c>
      <c r="C12" s="52" t="n">
        <v>60</v>
      </c>
      <c r="D12" s="53" t="n">
        <v>150</v>
      </c>
      <c r="E12" s="54" t="n">
        <f aca="false">C12*D12</f>
        <v>9000</v>
      </c>
      <c r="F12" s="12" t="s">
        <v>767</v>
      </c>
    </row>
    <row r="13" customFormat="false" ht="16.5" hidden="false" customHeight="true" outlineLevel="0" collapsed="false">
      <c r="A13" s="13" t="s">
        <v>241</v>
      </c>
      <c r="B13" s="12" t="s">
        <v>768</v>
      </c>
      <c r="C13" s="52" t="n">
        <v>1</v>
      </c>
      <c r="D13" s="53" t="n">
        <v>2000</v>
      </c>
      <c r="E13" s="54" t="n">
        <f aca="false">C13*D13</f>
        <v>2000</v>
      </c>
      <c r="F13" s="12" t="s">
        <v>765</v>
      </c>
    </row>
    <row r="14" customFormat="false" ht="16.5" hidden="false" customHeight="true" outlineLevel="0" collapsed="false">
      <c r="A14" s="13" t="s">
        <v>334</v>
      </c>
      <c r="B14" s="12" t="s">
        <v>769</v>
      </c>
      <c r="C14" s="52" t="n">
        <v>40</v>
      </c>
      <c r="D14" s="53" t="n">
        <v>150</v>
      </c>
      <c r="E14" s="54" t="n">
        <f aca="false">C14*D14</f>
        <v>6000</v>
      </c>
      <c r="F14" s="12" t="s">
        <v>765</v>
      </c>
    </row>
    <row r="15" customFormat="false" ht="16.5" hidden="false" customHeight="true" outlineLevel="0" collapsed="false">
      <c r="A15" s="13" t="s">
        <v>304</v>
      </c>
      <c r="B15" s="12" t="s">
        <v>770</v>
      </c>
      <c r="C15" s="52" t="n">
        <v>3</v>
      </c>
      <c r="D15" s="53" t="n">
        <v>1500</v>
      </c>
      <c r="E15" s="54" t="n">
        <f aca="false">C15*D15</f>
        <v>4500</v>
      </c>
      <c r="F15" s="12" t="s">
        <v>771</v>
      </c>
    </row>
    <row r="16" customFormat="false" ht="30" hidden="false" customHeight="true" outlineLevel="0" collapsed="false">
      <c r="A16" s="13" t="s">
        <v>312</v>
      </c>
      <c r="B16" s="12" t="s">
        <v>772</v>
      </c>
      <c r="C16" s="52" t="n">
        <v>10</v>
      </c>
      <c r="D16" s="53" t="n">
        <v>500</v>
      </c>
      <c r="E16" s="54" t="n">
        <f aca="false">C16*D16</f>
        <v>5000</v>
      </c>
      <c r="F16" s="12" t="s">
        <v>773</v>
      </c>
    </row>
    <row r="17" customFormat="false" ht="15" hidden="false" customHeight="false" outlineLevel="0" collapsed="false">
      <c r="B17" s="17" t="s">
        <v>774</v>
      </c>
      <c r="E17" s="55" t="n">
        <f aca="false">SUM(E5:E16)</f>
        <v>62500</v>
      </c>
    </row>
    <row r="18" customFormat="false" ht="15" hidden="false" customHeight="false" outlineLevel="0" collapsed="false">
      <c r="B18" s="12" t="s">
        <v>775</v>
      </c>
      <c r="E18" s="54" t="n">
        <v>8000</v>
      </c>
    </row>
    <row r="19" customFormat="false" ht="15" hidden="false" customHeight="false" outlineLevel="0" collapsed="false">
      <c r="B19" s="19" t="s">
        <v>776</v>
      </c>
      <c r="E19" s="56" t="n">
        <f aca="false">E17-E18</f>
        <v>54500</v>
      </c>
    </row>
    <row r="21" customFormat="false" ht="30" hidden="false" customHeight="true" outlineLevel="0" collapsed="false">
      <c r="A21" s="25" t="s">
        <v>777</v>
      </c>
      <c r="B21" s="25"/>
      <c r="C21" s="25"/>
      <c r="D21" s="25"/>
      <c r="E21" s="25"/>
      <c r="F21" s="25"/>
    </row>
  </sheetData>
  <mergeCells count="2">
    <mergeCell ref="A2:F2"/>
    <mergeCell ref="A21:F2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2026-09-30T01:01:57Z</dcterms:created>
  <dc:creator>openpyxl</dc:creator>
  <dc:description/>
  <dc:language>en-US</dc:language>
  <cp:lastModifiedBy/>
  <dcterms:modified xsi:type="dcterms:W3CDTF">2026-09-30T01:01:57Z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