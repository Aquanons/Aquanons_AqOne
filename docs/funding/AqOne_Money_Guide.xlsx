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tart Here" sheetId="1" state="visible" r:id="rId3"/>
    <sheet name="2 DOST Budget" sheetId="2" state="visible" r:id="rId4"/>
    <sheet name="3 What We Buy" sheetId="3" state="visible" r:id="rId5"/>
    <sheet name="4 Investor Deal" sheetId="4" state="visible" r:id="rId6"/>
    <sheet name="5 Money Outlook" sheetId="5" state="visible" r:id="rId7"/>
    <sheet name="6 Risks &amp; Answers" sheetId="6" state="visible" r:id="rId8"/>
    <sheet name="7 To-D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<sst xmlns="http://schemas.openxmlformats.org/spreadsheetml/2006/main" count="573" uniqueCount="504">
  <si>
    <t xml:space="preserve">AqOne Money Guide (for Doreen)</t>
  </si>
  <si>
    <t xml:space="preserve">A plain-language summary of our DOST grant budget and our private investor deal, as of 28 September 2026. Every number comes from Aquanons_Master_Budget.xlsx and AqOne_Investor_Model.xlsx.</t>
  </si>
  <si>
    <t xml:space="preserve">WE ARE ASKING FOR MONEY TWICE, FROM TWO DIFFERENT PLACES</t>
  </si>
  <si>
    <t xml:space="preserve">1. DOST grant (government)</t>
  </si>
  <si>
    <t xml:space="preserve">2. Private investors (business people)</t>
  </si>
  <si>
    <t xml:space="preserve">What they give</t>
  </si>
  <si>
    <t xml:space="preserve">₱1,705,525.37, one time</t>
  </si>
  <si>
    <t xml:space="preserve">₱8,000,000 in two parts (₱3M, then ₱5M)</t>
  </si>
  <si>
    <t xml:space="preserve">When</t>
  </si>
  <si>
    <t xml:space="preserve">Year 1 (the pilot year)</t>
  </si>
  <si>
    <t xml:space="preserve">End of Year 1 and end of Year 2, only if we hit our goals</t>
  </si>
  <si>
    <t xml:space="preserve">What it pays for</t>
  </si>
  <si>
    <t xml:space="preserve">Building and testing the AqOne pilot in New Washington</t>
  </si>
  <si>
    <t xml:space="preserve">Growing AqOne to more towns after the pilot works</t>
  </si>
  <si>
    <t xml:space="preserve">What they get back</t>
  </si>
  <si>
    <t xml:space="preserve">Nothing. A grant is not paid back, but we must spend it exactly as planned and report it</t>
  </si>
  <si>
    <t xml:space="preserve">A small share of the company (about 12%) plus a small payment for every pod and town we sell to</t>
  </si>
  <si>
    <t xml:space="preserve">Where the details are</t>
  </si>
  <si>
    <t xml:space="preserve">Tabs 2 and 3</t>
  </si>
  <si>
    <t xml:space="preserve">Tabs 4 and 5</t>
  </si>
  <si>
    <t xml:space="preserve">Golden rule: never mix the two. Grant money cannot be used to pay investors, and investor money must not pay for things the grant already covers.</t>
  </si>
  <si>
    <t xml:space="preserve">HOW TO USE THIS FILE</t>
  </si>
  <si>
    <t xml:space="preserve">Tab</t>
  </si>
  <si>
    <t xml:space="preserve">What you will find</t>
  </si>
  <si>
    <t xml:space="preserve">Read it when</t>
  </si>
  <si>
    <t xml:space="preserve">1 Start Here</t>
  </si>
  <si>
    <t xml:space="preserve">This overview and a dictionary of business words</t>
  </si>
  <si>
    <t xml:space="preserve">First, and whenever a word is confusing</t>
  </si>
  <si>
    <t xml:space="preserve">2 DOST Budget</t>
  </si>
  <si>
    <t xml:space="preserve">How the ₱1.7M grant is split, who gets paid, what changed</t>
  </si>
  <si>
    <t xml:space="preserve">Preparing the Thursday pitch</t>
  </si>
  <si>
    <t xml:space="preserve">3 What We Buy</t>
  </si>
  <si>
    <t xml:space="preserve">Every device and service, what it does, how much it costs</t>
  </si>
  <si>
    <t xml:space="preserve">Someone asks 'why does this cost that much?'</t>
  </si>
  <si>
    <t xml:space="preserve">4 Investor Deal</t>
  </si>
  <si>
    <t xml:space="preserve">The investor offer step by step, goals to unlock money, a royalty calculator</t>
  </si>
  <si>
    <t xml:space="preserve">Preparing the startup competition</t>
  </si>
  <si>
    <t xml:space="preserve">5 Money Outlook</t>
  </si>
  <si>
    <t xml:space="preserve">What the next 5 years could look like (bad, normal, good)</t>
  </si>
  <si>
    <t xml:space="preserve">Someone asks 'how will you make money?'</t>
  </si>
  <si>
    <t xml:space="preserve">6 Risks &amp; Answers</t>
  </si>
  <si>
    <t xml:space="preserve">Hard questions judges will ask, with honest answers</t>
  </si>
  <si>
    <t xml:space="preserve">Practicing Q&amp;A</t>
  </si>
  <si>
    <t xml:space="preserve">7 To-Do</t>
  </si>
  <si>
    <t xml:space="preserve">Things we still need to confirm or get quotes for</t>
  </si>
  <si>
    <t xml:space="preserve">Planning the week</t>
  </si>
  <si>
    <t xml:space="preserve">Colors: yellow cells are numbers you can change (for example in the royalty calculator). Red boxes are warnings. 'Estimate' means we guessed a fair price but have no official quote yet.</t>
  </si>
  <si>
    <t xml:space="preserve">DICTIONARY: BUSINESS WORDS IN SIMPLE TERMS</t>
  </si>
  <si>
    <t xml:space="preserve">Word</t>
  </si>
  <si>
    <t xml:space="preserve">Meaning in simple words</t>
  </si>
  <si>
    <t xml:space="preserve">Example from AqOne</t>
  </si>
  <si>
    <t xml:space="preserve">DOST grant</t>
  </si>
  <si>
    <t xml:space="preserve">Free money from the Department of Science and Technology to do research. We must follow their rules and report how we spent it.</t>
  </si>
  <si>
    <t xml:space="preserve">Our ₱1,705,525.37 request</t>
  </si>
  <si>
    <t xml:space="preserve">Line-item budget</t>
  </si>
  <si>
    <t xml:space="preserve">A list of everything we will buy or pay, one per line, with quantity, price and total.</t>
  </si>
  <si>
    <t xml:space="preserve">Aquanons_Master_Budget.xlsx</t>
  </si>
  <si>
    <t xml:space="preserve">PS (Personal Services)</t>
  </si>
  <si>
    <t xml:space="preserve">Money paid to people for their work. For us: student researcher stipends.</t>
  </si>
  <si>
    <t xml:space="preserve">₱238,893.20</t>
  </si>
  <si>
    <t xml:space="preserve">MOOE</t>
  </si>
  <si>
    <t xml:space="preserve">'Maintenance and Other Operating Expenses': supplies, services, travel and small equipment. Most of our budget.</t>
  </si>
  <si>
    <t xml:space="preserve">₱1,275,426.68</t>
  </si>
  <si>
    <t xml:space="preserve">EO (Equipment Outlay)</t>
  </si>
  <si>
    <t xml:space="preserve">Expensive equipment (₱50,000 or more per unit) that becomes ASU property.</t>
  </si>
  <si>
    <t xml:space="preserve">2 laptops, ₱109,990</t>
  </si>
  <si>
    <t xml:space="preserve">₱50,000 threshold</t>
  </si>
  <si>
    <t xml:space="preserve">Government accounting rule: items costing ₱50,000 or more each count as equipment (EO); cheaper items count as supplies (MOOE).</t>
  </si>
  <si>
    <t xml:space="preserve">A ₱35,000 tablet is MOOE</t>
  </si>
  <si>
    <t xml:space="preserve">Contingency</t>
  </si>
  <si>
    <t xml:space="preserve">An extra safety amount (5%) for price changes or broken parts. DOST may not allow it; we must confirm.</t>
  </si>
  <si>
    <t xml:space="preserve">₱81,215.49</t>
  </si>
  <si>
    <t xml:space="preserve">Stipend</t>
  </si>
  <si>
    <t xml:space="preserve">A fixed payment for student work, not a salary. Ours is based on the minimum wage: ₱65.63 per hour.</t>
  </si>
  <si>
    <t xml:space="preserve">₱68,255.20 for Lenard</t>
  </si>
  <si>
    <t xml:space="preserve">Estimate vs quotation</t>
  </si>
  <si>
    <t xml:space="preserve">An estimate is our best guess. A quotation is an official written price from a store. Reviewers trust quotations more.</t>
  </si>
  <si>
    <t xml:space="preserve">Life vests ₱1,200 each (estimate)</t>
  </si>
  <si>
    <t xml:space="preserve">Counterpart / in-kind</t>
  </si>
  <si>
    <t xml:space="preserve">Help from a partner that is not cash, like the LGU lending boats or buoys.</t>
  </si>
  <si>
    <t xml:space="preserve">New Washington LGU (not yet agreed)</t>
  </si>
  <si>
    <t xml:space="preserve">MOA / LOI</t>
  </si>
  <si>
    <t xml:space="preserve">MOA: a signed agreement between organizations. LOI (Letter of Intent): a letter saying they plan to work with or pay us.</t>
  </si>
  <si>
    <t xml:space="preserve">We want an LOI from New Washington</t>
  </si>
  <si>
    <t xml:space="preserve">LGU / MDRRMO / LDRRMF</t>
  </si>
  <si>
    <t xml:space="preserve">Local government unit / its disaster office / its disaster fund (at least 5% of the town's income, by law).</t>
  </si>
  <si>
    <t xml:space="preserve">New Washington's fund ≈ ₱10M/year</t>
  </si>
  <si>
    <t xml:space="preserve">VAT</t>
  </si>
  <si>
    <t xml:space="preserve">12% tax. Foreign online services (ChatGPT, Claude, Render) now charge it in the Philippines.</t>
  </si>
  <si>
    <t xml:space="preserve">₱13,554 on AI tools</t>
  </si>
  <si>
    <t xml:space="preserve">FX / exchange rate</t>
  </si>
  <si>
    <t xml:space="preserve">How many pesos one US dollar costs. Some services charge in dollars.</t>
  </si>
  <si>
    <t xml:space="preserve">₱62.75 per US$1</t>
  </si>
  <si>
    <t xml:space="preserve">Investor</t>
  </si>
  <si>
    <t xml:space="preserve">A person or company that gives money now hoping to get more back later.</t>
  </si>
  <si>
    <t xml:space="preserve">Our ₱8M ask</t>
  </si>
  <si>
    <t xml:space="preserve">Equity / share</t>
  </si>
  <si>
    <t xml:space="preserve">Owning a piece of the company. 10% equity means owning 10% of AqOne.</t>
  </si>
  <si>
    <t xml:space="preserve">Investors get about 12.3%</t>
  </si>
  <si>
    <t xml:space="preserve">Valuation</t>
  </si>
  <si>
    <t xml:space="preserve">How much the whole company is 'worth' in the deal. If an investor pays ₱3M for 6%, the company is valued at ₱50M.</t>
  </si>
  <si>
    <t xml:space="preserve">₱50M, then ₱75M</t>
  </si>
  <si>
    <t xml:space="preserve">Tranche</t>
  </si>
  <si>
    <t xml:space="preserve">A part-payment. Instead of all the money at once, it comes in pieces.</t>
  </si>
  <si>
    <t xml:space="preserve">₱3M, then ₱5M</t>
  </si>
  <si>
    <t xml:space="preserve">Milestone</t>
  </si>
  <si>
    <t xml:space="preserve">A goal we must reach before the next tranche is paid.</t>
  </si>
  <si>
    <t xml:space="preserve">Pilot working with 18+ pods at sea</t>
  </si>
  <si>
    <t xml:space="preserve">Royalty</t>
  </si>
  <si>
    <t xml:space="preserve">A small fixed payment to investors for every product we sell.</t>
  </si>
  <si>
    <t xml:space="preserve">₱750 per pod sold</t>
  </si>
  <si>
    <t xml:space="preserve">Royalty cap</t>
  </si>
  <si>
    <t xml:space="preserve">The maximum total royalty. After investors get back what they paid, royalties stop.</t>
  </si>
  <si>
    <t xml:space="preserve">Stops at ₱8M</t>
  </si>
  <si>
    <t xml:space="preserve">Dilution</t>
  </si>
  <si>
    <t xml:space="preserve">When new investors join, everyone's percentage gets smaller.</t>
  </si>
  <si>
    <t xml:space="preserve">12.3% becomes 9.8% after a later round</t>
  </si>
  <si>
    <t xml:space="preserve">Bridge financing</t>
  </si>
  <si>
    <t xml:space="preserve">Emergency money borrowed or raised if we run low on cash between tranches.</t>
  </si>
  <si>
    <t xml:space="preserve">Not needed in our main scenarios</t>
  </si>
  <si>
    <t xml:space="preserve">Revenue</t>
  </si>
  <si>
    <t xml:space="preserve">All money coming in from sales, before paying any costs.</t>
  </si>
  <si>
    <t xml:space="preserve">₱71.4M in Year 5 (normal case)</t>
  </si>
  <si>
    <t xml:space="preserve">Gross margin</t>
  </si>
  <si>
    <t xml:space="preserve">What is left from sales after paying for the products themselves, as a percentage.</t>
  </si>
  <si>
    <t xml:space="preserve">54% in Year 5 (normal case)</t>
  </si>
  <si>
    <t xml:space="preserve">EBITDA</t>
  </si>
  <si>
    <t xml:space="preserve">Profit from running the business, before loans, taxes and wear-and-tear. Negative means losing money.</t>
  </si>
  <si>
    <t xml:space="preserve">-₱1.87M in Year 2, +₱22.5M in Year 5</t>
  </si>
  <si>
    <t xml:space="preserve">Capex</t>
  </si>
  <si>
    <t xml:space="preserve">Money spent on equipment we keep, like buoys we lease to towns.</t>
  </si>
  <si>
    <t xml:space="preserve">₱913,028 in Year 2</t>
  </si>
  <si>
    <t xml:space="preserve">Recurring revenue</t>
  </si>
  <si>
    <t xml:space="preserve">Money that comes in every year from the same customer, like a yearly subscription. Investors love it.</t>
  </si>
  <si>
    <t xml:space="preserve">₱350,000 per town per year</t>
  </si>
  <si>
    <t xml:space="preserve">Exit</t>
  </si>
  <si>
    <t xml:space="preserve">When investors finally cash out, usually when a bigger company buys AqOne.</t>
  </si>
  <si>
    <t xml:space="preserve">Assumed at the end of Year 5</t>
  </si>
  <si>
    <t xml:space="preserve">Money multiple</t>
  </si>
  <si>
    <t xml:space="preserve">How many times investors get their money back. 3× means ₱1 becomes ₱3.</t>
  </si>
  <si>
    <t xml:space="preserve">3.15× (normal case)</t>
  </si>
  <si>
    <t xml:space="preserve">IRR</t>
  </si>
  <si>
    <t xml:space="preserve">The yearly return on investment, like a bank interest rate. Higher is better.</t>
  </si>
  <si>
    <t xml:space="preserve">41.8% per year (normal case)</t>
  </si>
  <si>
    <t xml:space="preserve">Scenario</t>
  </si>
  <si>
    <t xml:space="preserve">A 'what if' version of the future. We show a bad (Low), normal (Base) and good (High) case.</t>
  </si>
  <si>
    <t xml:space="preserve">Tab 5</t>
  </si>
  <si>
    <t xml:space="preserve">Stress test</t>
  </si>
  <si>
    <t xml:space="preserve">Changing one assumption to a worse value to see what breaks.</t>
  </si>
  <si>
    <t xml:space="preserve">Tab 6</t>
  </si>
  <si>
    <t xml:space="preserve">The DOST Grant Budget</t>
  </si>
  <si>
    <t xml:space="preserve">What we ask DOST for, split into categories, with what each category pays for. Totals here are formulas, so they always add up.</t>
  </si>
  <si>
    <t xml:space="preserve">THE TOTAL</t>
  </si>
  <si>
    <t xml:space="preserve">Total grant request</t>
  </si>
  <si>
    <t xml:space="preserve">Lenard's guidance: ₱1.5M was a starting target, not a limit. A well-justified request is better than a cut one.</t>
  </si>
  <si>
    <t xml:space="preserve">WHERE THE MONEY GOES</t>
  </si>
  <si>
    <t xml:space="preserve">Category</t>
  </si>
  <si>
    <t xml:space="preserve">Amount</t>
  </si>
  <si>
    <t xml:space="preserve">Share</t>
  </si>
  <si>
    <t xml:space="preserve">A. People: student researcher stipends</t>
  </si>
  <si>
    <t xml:space="preserve">Pays 6 students for their hours on the project (see the next table).</t>
  </si>
  <si>
    <t xml:space="preserve">B.1 Hardware: buoys, pods, gateways, tools</t>
  </si>
  <si>
    <t xml:space="preserve">3 buoy relay nodes, 22 boat pods, 2 shore gateways, plus tools, consumables and 3D printing. Details in tab 3.</t>
  </si>
  <si>
    <t xml:space="preserve">B.2 AI software subscriptions</t>
  </si>
  <si>
    <t xml:space="preserve">ChatGPT Pro for Lenard and Claude Pro for Arnold, Daniel and Jade, plus 12% VAT.</t>
  </si>
  <si>
    <t xml:space="preserve">B.3 Servers and hosting</t>
  </si>
  <si>
    <t xml:space="preserve">Keeps the AqOne backend and database online all year (Render), plus the Google Play fee.</t>
  </si>
  <si>
    <t xml:space="preserve">B.4 Communication</t>
  </si>
  <si>
    <t xml:space="preserve">SMS alerts to fishers, internet SIMs for the 2 gateways, mobile data for field testing.</t>
  </si>
  <si>
    <t xml:space="preserve">B.5 Travel</t>
  </si>
  <si>
    <t xml:space="preserve">48 trips from ASU Kalibo to New Washington, and 16 boat trips out to sea.</t>
  </si>
  <si>
    <t xml:space="preserve">B.6 Outreach and business support</t>
  </si>
  <si>
    <t xml:space="preserve">Training for fishers and MDRRMO, publishing results, 2 laptops or tablets for Doreen and KC.</t>
  </si>
  <si>
    <t xml:space="preserve">B.7 Safety and maintenance (new)</t>
  </si>
  <si>
    <t xml:space="preserve">Life vests, first aid, accident insurance, and spare parts for repairs.</t>
  </si>
  <si>
    <t xml:space="preserve">C. Equipment (₱50,000+ each)</t>
  </si>
  <si>
    <t xml:space="preserve">2 development laptops (MSI Thin 15) that become ASU property.</t>
  </si>
  <si>
    <t xml:space="preserve">Subtotal before contingency</t>
  </si>
  <si>
    <t xml:space="preserve">Contingency (5% safety amount, DOST must allow it)</t>
  </si>
  <si>
    <t xml:space="preserve">Extra 5% for price changes and broken parts. Confirm with ASU that DOST allows it.</t>
  </si>
  <si>
    <t xml:space="preserve">TOTAL GRANT REQUEST</t>
  </si>
  <si>
    <t xml:space="preserve">WHO GETS A STIPEND (paid at ₱65.63 per hour, the Region VI minimum wage)</t>
  </si>
  <si>
    <t xml:space="preserve">Name and role</t>
  </si>
  <si>
    <t xml:space="preserve">Hours per week</t>
  </si>
  <si>
    <t xml:space="preserve">Per year</t>
  </si>
  <si>
    <t xml:space="preserve">How it is computed</t>
  </si>
  <si>
    <t xml:space="preserve">Lenard: Lead student researcher: backend, architecture, deployment</t>
  </si>
  <si>
    <t xml:space="preserve">Hours per week × 52 weeks × ₱65.63 per hour (about ₱5,688 per month)</t>
  </si>
  <si>
    <t xml:space="preserve">Arnold: Website dashboard</t>
  </si>
  <si>
    <t xml:space="preserve">Hours per week × 52 weeks × ₱65.63 per hour (about ₱2,844 per month)</t>
  </si>
  <si>
    <t xml:space="preserve">Daniel: Hardware and buoy firmware</t>
  </si>
  <si>
    <t xml:space="preserve">Jade: Flutter application</t>
  </si>
  <si>
    <t xml:space="preserve">Doreen Kay: Pitching, company branding, business direction</t>
  </si>
  <si>
    <t xml:space="preserve">KC Condes: Pitching and business development support</t>
  </si>
  <si>
    <t xml:space="preserve">Total stipends</t>
  </si>
  <si>
    <t xml:space="preserve">Must equal category A above (₱238,893.20)</t>
  </si>
  <si>
    <t xml:space="preserve">WHAT CHANGED TONIGHT (after the independent review)</t>
  </si>
  <si>
    <t xml:space="preserve">Change</t>
  </si>
  <si>
    <t xml:space="preserve">Added cost</t>
  </si>
  <si>
    <t xml:space="preserve">Why</t>
  </si>
  <si>
    <t xml:space="preserve">Pods: 20 → 22 (20 at sea + 2 spares)</t>
  </si>
  <si>
    <t xml:space="preserve">The pilot needs at least 20 boats; spares replace broken pods.</t>
  </si>
  <si>
    <t xml:space="preserve">Physical SOS button on every pod (₱350 × 22)</t>
  </si>
  <si>
    <t xml:space="preserve">Fishers can send SOS even if their phone is wet or dead.</t>
  </si>
  <si>
    <t xml:space="preserve">Boat trips to sea (16 × ₱2,500, estimate)</t>
  </si>
  <si>
    <t xml:space="preserve">We need boats to install and check buoys. Drop it if the LGU lends boats.</t>
  </si>
  <si>
    <t xml:space="preserve">New safety and maintenance section</t>
  </si>
  <si>
    <t xml:space="preserve">Life vests, first aid, insurance and spare parts were missing.</t>
  </si>
  <si>
    <t xml:space="preserve">Contingency on the above (5%)</t>
  </si>
  <si>
    <t xml:space="preserve">The 5% safety amount grows with the budget.</t>
  </si>
  <si>
    <t xml:space="preserve">Total change</t>
  </si>
  <si>
    <t xml:space="preserve">Old total ₱1,558,472.87 → new total ₱1,705,525.37</t>
  </si>
  <si>
    <t xml:space="preserve">Also changed, at no extra cost: travel is now priced like public transport instead of private-car gas (government rules do not refund gas for private cars); the iPad line is now '2 laptops or tablets for Doreen and KC' (₱35,000 each), chosen from real needs and store quotes.</t>
  </si>
  <si>
    <t xml:space="preserve">What We Buy with the Grant</t>
  </si>
  <si>
    <t xml:space="preserve">Every major item in plain words. Totals are formulas: Quantity × Cost each.</t>
  </si>
  <si>
    <t xml:space="preserve">THE THREE DEVICES WE BUILD</t>
  </si>
  <si>
    <t xml:space="preserve">Device</t>
  </si>
  <si>
    <t xml:space="preserve">What it does</t>
  </si>
  <si>
    <t xml:space="preserve">Quantity</t>
  </si>
  <si>
    <t xml:space="preserve">Cost each</t>
  </si>
  <si>
    <t xml:space="preserve">Total</t>
  </si>
  <si>
    <t xml:space="preserve">Buoy relay node</t>
  </si>
  <si>
    <t xml:space="preserve">A solar-powered box on an LGU buoy at sea. It passes SOS messages from boats to shore when boats are too far, and gives nearby phones Wi-Fi.</t>
  </si>
  <si>
    <t xml:space="preserve">Boat pod</t>
  </si>
  <si>
    <t xml:space="preserve">A small waterproof box strapped to a fisher's boat. The fisher's phone connects to it by Wi-Fi; it sends SOS and position by radio. Charged at home with a phone charger. Has a physical SOS button.</t>
  </si>
  <si>
    <t xml:space="preserve">Shore gateway</t>
  </si>
  <si>
    <t xml:space="preserve">A box on a tall building on shore. It receives radio messages from pods and buoys and sends them to our server over mobile internet. Has a backup battery for brownouts.</t>
  </si>
  <si>
    <t xml:space="preserve">Devices total</t>
  </si>
  <si>
    <t xml:space="preserve">INSIDE ONE BOAT POD (₱17,500)</t>
  </si>
  <si>
    <t xml:space="preserve">Part</t>
  </si>
  <si>
    <t xml:space="preserve">Why it is needed</t>
  </si>
  <si>
    <t xml:space="preserve">Radio board (RAK WisBlock)</t>
  </si>
  <si>
    <t xml:space="preserve">The brain: LoRa radio plus Wi-Fi for the phone</t>
  </si>
  <si>
    <t xml:space="preserve">GPS set</t>
  </si>
  <si>
    <t xml:space="preserve">Knows where the boat is</t>
  </si>
  <si>
    <t xml:space="preserve">Antenna + cable</t>
  </si>
  <si>
    <t xml:space="preserve">Sends the radio signal far</t>
  </si>
  <si>
    <t xml:space="preserve">4 battery cells (LiFePO4)</t>
  </si>
  <si>
    <t xml:space="preserve">About 2 days per charge; safe in heat</t>
  </si>
  <si>
    <t xml:space="preserve">USB-C charger board + waterproof port</t>
  </si>
  <si>
    <t xml:space="preserve">Charge with a normal phone charger</t>
  </si>
  <si>
    <t xml:space="preserve">Waterproof box + seals</t>
  </si>
  <si>
    <t xml:space="preserve">Keeps salt water out</t>
  </si>
  <si>
    <t xml:space="preserve">Strap mount + safety rope</t>
  </si>
  <si>
    <t xml:space="preserve">Straps to the boat; the rope keeps it from falling off</t>
  </si>
  <si>
    <t xml:space="preserve">Monitoring + wiring</t>
  </si>
  <si>
    <t xml:space="preserve">Auto-restart and battery level shown in the app</t>
  </si>
  <si>
    <t xml:space="preserve">SOS button with guard cover</t>
  </si>
  <si>
    <t xml:space="preserve">Press for help without the phone</t>
  </si>
  <si>
    <t xml:space="preserve">One pod</t>
  </si>
  <si>
    <t xml:space="preserve">OTHER THINGS WE BUY</t>
  </si>
  <si>
    <t xml:space="preserve">Item</t>
  </si>
  <si>
    <t xml:space="preserve">What for</t>
  </si>
  <si>
    <t xml:space="preserve">Tools, consumables, 3D printing, 2 monitors</t>
  </si>
  <si>
    <t xml:space="preserve">Solder, sealants, hand and power tools, test meters, safety gear for the workbench, 3D-printed mounts (6 kg at ASU)</t>
  </si>
  <si>
    <t xml:space="preserve">2 development laptops (MSI Thin 15)</t>
  </si>
  <si>
    <t xml:space="preserve">For backend work and training AI models; become ASU property</t>
  </si>
  <si>
    <t xml:space="preserve">2 business/design laptops or tablets</t>
  </si>
  <si>
    <t xml:space="preserve">For Doreen and KC: pitch decks, design, business materials</t>
  </si>
  <si>
    <t xml:space="preserve">Life vests</t>
  </si>
  <si>
    <t xml:space="preserve">For the field crew at sea (5 + 1 spare), estimate</t>
  </si>
  <si>
    <t xml:space="preserve">First aid kit</t>
  </si>
  <si>
    <t xml:space="preserve">Carried on every sea trip, estimate</t>
  </si>
  <si>
    <t xml:space="preserve">Accident insurance top-up</t>
  </si>
  <si>
    <t xml:space="preserve">6 students + 1 faculty adviser for work at sea, estimate</t>
  </si>
  <si>
    <t xml:space="preserve">Spare parts kits</t>
  </si>
  <si>
    <t xml:space="preserve">Buoy spares (₱29,500) and pod repair parts (₱12,850)</t>
  </si>
  <si>
    <t xml:space="preserve">SERVICES WE PAY FOR DURING THE YEAR</t>
  </si>
  <si>
    <t xml:space="preserve">Service</t>
  </si>
  <si>
    <t xml:space="preserve">Details</t>
  </si>
  <si>
    <t xml:space="preserve">AI tools</t>
  </si>
  <si>
    <t xml:space="preserve">ChatGPT Pro (Lenard, $100/month) + Claude Pro × 3 (Arnold, Daniel, Jade, $200/year each) + 12% VAT</t>
  </si>
  <si>
    <t xml:space="preserve">Servers (Render)</t>
  </si>
  <si>
    <t xml:space="preserve">Backend, database with automatic backups, a test copy, domain, Google Play fee, VAT, currency buffer</t>
  </si>
  <si>
    <t xml:space="preserve">SMS alerts (Semaphore)</t>
  </si>
  <si>
    <t xml:space="preserve">About 24,000 texts at ₱0.63 each for fishers without smartphones</t>
  </si>
  <si>
    <t xml:space="preserve">Gateway internet SIMs</t>
  </si>
  <si>
    <t xml:space="preserve">2 SIMs (Globe + Smart) × ₱12,000 per year</t>
  </si>
  <si>
    <t xml:space="preserve">Field-testing mobile data</t>
  </si>
  <si>
    <t xml:space="preserve">2 pocket Wi-Fi + about 200 GB of no-expiry data on each SIM</t>
  </si>
  <si>
    <t xml:space="preserve">Land travel</t>
  </si>
  <si>
    <t xml:space="preserve">48 trips from ASU Kalibo, crew of 3-5, public-transport rate ₱1,250 per trip (estimate)</t>
  </si>
  <si>
    <t xml:space="preserve">Boat trips</t>
  </si>
  <si>
    <t xml:space="preserve">16 pumpboat trips × ₱2,500 (estimate)</t>
  </si>
  <si>
    <t xml:space="preserve">Conference trip</t>
  </si>
  <si>
    <t xml:space="preserve">Present results at one national research forum</t>
  </si>
  <si>
    <t xml:space="preserve">The Private Investor Deal</t>
  </si>
  <si>
    <t xml:space="preserve">What we offer business people who invest in AqOne, explained step by step. This is separate from the DOST grant.</t>
  </si>
  <si>
    <t xml:space="preserve">THE OFFER IN ONE SENTENCE</t>
  </si>
  <si>
    <t xml:space="preserve">Investors promise ₱8 million now, but only pay ₱3 million after our pilot works and ₱5 million after we win our first paying towns. In return they own about 12% of AqOne and get ₱750 for every pod we sell plus ₱12,500 per paying town each year, until they have received ₱8 million back.</t>
  </si>
  <si>
    <t xml:space="preserve">STEP BY STEP, YEAR BY YEAR</t>
  </si>
  <si>
    <t xml:space="preserve">Year</t>
  </si>
  <si>
    <t xml:space="preserve">Money from investors</t>
  </si>
  <si>
    <t xml:space="preserve">Royalties back (normal case)</t>
  </si>
  <si>
    <t xml:space="preserve">What happens</t>
  </si>
  <si>
    <t xml:space="preserve">Year 1 (DOST pilot)</t>
  </si>
  <si>
    <t xml:space="preserve">DOST pays for the pilot. We build and test in New Washington.</t>
  </si>
  <si>
    <t xml:space="preserve">End of Year 1</t>
  </si>
  <si>
    <t xml:space="preserve">If Milestone 1 is met, investors pay the first part.</t>
  </si>
  <si>
    <t xml:space="preserve">Year 2</t>
  </si>
  <si>
    <t xml:space="preserve">We sign our first 3 paying towns. Royalties start at half rate.</t>
  </si>
  <si>
    <t xml:space="preserve">End of Year 2</t>
  </si>
  <si>
    <t xml:space="preserve">If Milestone 2 is met, investors pay the second part.</t>
  </si>
  <si>
    <t xml:space="preserve">Year 3</t>
  </si>
  <si>
    <t xml:space="preserve">Royalties at full rate.</t>
  </si>
  <si>
    <t xml:space="preserve">Year 4</t>
  </si>
  <si>
    <t xml:space="preserve">More towns and pods.</t>
  </si>
  <si>
    <t xml:space="preserve">Year 5</t>
  </si>
  <si>
    <t xml:space="preserve">Royalties continue; investors may sell their share (exit).</t>
  </si>
  <si>
    <t xml:space="preserve">THE TWO PAYMENTS (TRANCHES)</t>
  </si>
  <si>
    <t xml:space="preserve">Payment 1</t>
  </si>
  <si>
    <t xml:space="preserve">Payment 2</t>
  </si>
  <si>
    <t xml:space="preserve">What it means</t>
  </si>
  <si>
    <t xml:space="preserve">₱8M in total</t>
  </si>
  <si>
    <t xml:space="preserve">Only after the milestone below is checked</t>
  </si>
  <si>
    <t xml:space="preserve">Company value in the deal</t>
  </si>
  <si>
    <t xml:space="preserve">Payment 2 values us higher because the pilot has proven itself</t>
  </si>
  <si>
    <t xml:space="preserve">Share of AqOne they get</t>
  </si>
  <si>
    <t xml:space="preserve">6.0% + 6.7% = about 12.3% (about 9.8% after future investors join)</t>
  </si>
  <si>
    <t xml:space="preserve">GOALS WE MUST HIT (MILESTONES) - TICK THEM OFF AS WE GO</t>
  </si>
  <si>
    <t xml:space="preserve">Stage</t>
  </si>
  <si>
    <t xml:space="preserve">Done?</t>
  </si>
  <si>
    <t xml:space="preserve">Date done</t>
  </si>
  <si>
    <t xml:space="preserve">Goal</t>
  </si>
  <si>
    <t xml:space="preserve">Before any money</t>
  </si>
  <si>
    <t xml:space="preserve">Not yet</t>
  </si>
  <si>
    <t xml:space="preserve">DOST grant approved</t>
  </si>
  <si>
    <t xml:space="preserve">Company registered with SEC</t>
  </si>
  <si>
    <t xml:space="preserve">Agreement with ASU on who owns the technology (IP license)</t>
  </si>
  <si>
    <t xml:space="preserve">Investor agreement (term sheet) signed</t>
  </si>
  <si>
    <t xml:space="preserve">Milestone 1 (unlocks ₱3M)</t>
  </si>
  <si>
    <t xml:space="preserve">Pilot live: 3 buoy nodes, 2 gateways, 18+ pods at sea</t>
  </si>
  <si>
    <t xml:space="preserve">System working at least 95% of the time for 3 months</t>
  </si>
  <si>
    <t xml:space="preserve">At least 95% of SOS test messages delivered</t>
  </si>
  <si>
    <t xml:space="preserve">Agreed number of fishers actively using AqOne</t>
  </si>
  <si>
    <t xml:space="preserve">New Washington signs a paid Year 2 deal or a letter of intent</t>
  </si>
  <si>
    <t xml:space="preserve">Real costs of each device measured</t>
  </si>
  <si>
    <t xml:space="preserve">Milestone 2 (unlocks ₱5M)</t>
  </si>
  <si>
    <t xml:space="preserve">3 towns paying us</t>
  </si>
  <si>
    <t xml:space="preserve">150+ pods in use</t>
  </si>
  <si>
    <t xml:space="preserve">At least 1 cooperative buys pods</t>
  </si>
  <si>
    <t xml:space="preserve">New Washington renews</t>
  </si>
  <si>
    <t xml:space="preserve">We keep at least 35% of each deployment's price after its costs</t>
  </si>
  <si>
    <t xml:space="preserve">If we miss a milestone, the investor can choose not to pay the next part. That is their safety. They keep whatever share they already got.</t>
  </si>
  <si>
    <t xml:space="preserve">ROYALTY CALCULATOR - CHANGE THE YELLOW CELLS</t>
  </si>
  <si>
    <t xml:space="preserve">Pods sold this year</t>
  </si>
  <si>
    <t xml:space="preserve">Example: 100 pods and 3 towns = ₱75,000 + ₱37,500 = ₱112,500 for that year.</t>
  </si>
  <si>
    <t xml:space="preserve">Paying towns this year</t>
  </si>
  <si>
    <t xml:space="preserve">Royalties stop once investors have received ₱8,000,000 in total.</t>
  </si>
  <si>
    <t xml:space="preserve">Year 2? (half rate) type Yes or No</t>
  </si>
  <si>
    <t xml:space="preserve">No</t>
  </si>
  <si>
    <t xml:space="preserve">Royalties are paid only from what we earn selling, never from DOST money.</t>
  </si>
  <si>
    <t xml:space="preserve">Royalty from pods (₱750 each)</t>
  </si>
  <si>
    <t xml:space="preserve">Royalty from towns (₱12,500 each)</t>
  </si>
  <si>
    <t xml:space="preserve">Total paid to investors this year</t>
  </si>
  <si>
    <t xml:space="preserve">How AqOne Could Grow (Years 1-5)</t>
  </si>
  <si>
    <t xml:space="preserve">Three 'what if' versions of the future. Nobody knows the future, so we show a bad, a normal and a good case. These are estimates to discuss, not promises.</t>
  </si>
  <si>
    <t xml:space="preserve">HOW WE MAKE MONEY</t>
  </si>
  <si>
    <t xml:space="preserve">Who pays, and for what</t>
  </si>
  <si>
    <t xml:space="preserve">Price</t>
  </si>
  <si>
    <t xml:space="preserve">In simple words</t>
  </si>
  <si>
    <t xml:space="preserve">Towns (LGUs): yearly subscription. We lend the buoys and gateways, run the servers and fix things</t>
  </si>
  <si>
    <t xml:space="preserve">About 3.5% of a town's disaster fund (≈₱10M a year for New Washington)</t>
  </si>
  <si>
    <t xml:space="preserve">Cooperatives: buy boat pods for their members, paid in installments</t>
  </si>
  <si>
    <t xml:space="preserve">Our pod costs ₱17,500 to build, so we keep ₱2,400 per pod</t>
  </si>
  <si>
    <t xml:space="preserve">Pod users: yearly service per pod</t>
  </si>
  <si>
    <t xml:space="preserve">₱100 per month per boat</t>
  </si>
  <si>
    <t xml:space="preserve">Local sponsors: small ads on the weather screen, never on SOS screens</t>
  </si>
  <si>
    <t xml:space="preserve">About 2 local businesses per town × ₱2,500 per month</t>
  </si>
  <si>
    <t xml:space="preserve">THREE VERSIONS OF YEAR 5</t>
  </si>
  <si>
    <t xml:space="preserve">Bad (Low)</t>
  </si>
  <si>
    <t xml:space="preserve">Normal (Base)</t>
  </si>
  <si>
    <t xml:space="preserve">Good (High)</t>
  </si>
  <si>
    <t xml:space="preserve">Towns paying us</t>
  </si>
  <si>
    <t xml:space="preserve">How many municipalities subscribe</t>
  </si>
  <si>
    <t xml:space="preserve">Boat pods in use</t>
  </si>
  <si>
    <t xml:space="preserve">Out of 442,014 registered small fishing boats in the Philippines (about 1% in the normal case)</t>
  </si>
  <si>
    <t xml:space="preserve">Money coming in (revenue)</t>
  </si>
  <si>
    <t xml:space="preserve">All sales in Year 5</t>
  </si>
  <si>
    <t xml:space="preserve">Profit from operations (EBITDA)</t>
  </si>
  <si>
    <t xml:space="preserve">What is left after all running costs</t>
  </si>
  <si>
    <t xml:space="preserve">Share of revenue from selling pods</t>
  </si>
  <si>
    <t xml:space="preserve">Two-thirds of our money comes from pods, so pod sales are our biggest risk</t>
  </si>
  <si>
    <t xml:space="preserve">Investor gets back (money multiple)</t>
  </si>
  <si>
    <t xml:space="preserve">₱1 invested becomes ₱1.21 / ₱3.15 / ₱6.48</t>
  </si>
  <si>
    <t xml:space="preserve">Investor yearly return (IRR)</t>
  </si>
  <si>
    <t xml:space="preserve">Like a yearly interest rate</t>
  </si>
  <si>
    <t xml:space="preserve">Investor gets back if AqOne is never sold</t>
  </si>
  <si>
    <t xml:space="preserve">Royalties only, by Year 5; royalties keep coming after Year 5 until ₱8M is repaid</t>
  </si>
  <si>
    <t xml:space="preserve">Lowest cash we hold (Years 2-5)</t>
  </si>
  <si>
    <t xml:space="preserve">Our thinnest moment is just before Payment 2 arrives; very little room for delays</t>
  </si>
  <si>
    <t xml:space="preserve">THE NORMAL CASE, YEAR BY YEAR</t>
  </si>
  <si>
    <t xml:space="preserve">Year 1</t>
  </si>
  <si>
    <t xml:space="preserve">New towns signed</t>
  </si>
  <si>
    <t xml:space="preserve">Pods sold</t>
  </si>
  <si>
    <t xml:space="preserve">Cost of products and service</t>
  </si>
  <si>
    <t xml:space="preserve">Team, office and other fixed costs</t>
  </si>
  <si>
    <t xml:space="preserve">We lose money in Years 1-2 (that is normal for a new company) and start making a profit in Year 3 in the normal case. The investor money covers the losing years.</t>
  </si>
  <si>
    <t xml:space="preserve">Hard Questions and Honest Answers</t>
  </si>
  <si>
    <t xml:space="preserve">What judges and investors will likely ask, and what we can truthfully say.</t>
  </si>
  <si>
    <t xml:space="preserve">LIKELY QUESTIONS</t>
  </si>
  <si>
    <t xml:space="preserve">Question</t>
  </si>
  <si>
    <t xml:space="preserve">Honest answer</t>
  </si>
  <si>
    <t xml:space="preserve">Why ₱1.7M and not ₱1.5M?</t>
  </si>
  <si>
    <t xml:space="preserve">Safety gear, boat trips, spare parts and the pod SOS button were missing. Without them the pilot would not be safe or dependable.</t>
  </si>
  <si>
    <t xml:space="preserve">Why do you need 22 pods?</t>
  </si>
  <si>
    <t xml:space="preserve">The pilot targets at least 20 fishing boats, plus 2 spares to replace broken pods quickly.</t>
  </si>
  <si>
    <t xml:space="preserve">Is the whole coastline already covered?</t>
  </si>
  <si>
    <t xml:space="preserve">No. We have not measured coverage at sea yet. The pilot's first job is to measure it.</t>
  </si>
  <si>
    <t xml:space="preserve">Has the LGU agreed to help?</t>
  </si>
  <si>
    <t xml:space="preserve">Not yet. We sent a letter and are waiting for a reply. Boats, buoys, gateway sites and permits depend on that agreement.</t>
  </si>
  <si>
    <t xml:space="preserve">Who owns the technology?</t>
  </si>
  <si>
    <t xml:space="preserve">To be settled with ASU. Government-funded research usually belongs to the university (RA 10055), so we need a license before investors join.</t>
  </si>
  <si>
    <t xml:space="preserve">How will you make money after the grant?</t>
  </si>
  <si>
    <t xml:space="preserve">Towns pay a yearly subscription (₱350,000), cooperatives buy pods (₱19,900), each pod pays ₱1,200 a year for service, and local sponsors pay for small weather-screen ads.</t>
  </si>
  <si>
    <t xml:space="preserve">What if fishers don't buy pods?</t>
  </si>
  <si>
    <t xml:space="preserve">That is our biggest risk: pods are about two-thirds of our revenue. With half the pod sales, investor returns fall from 3.15× to 1.99× and we would need about ₱0.53M of emergency money.</t>
  </si>
  <si>
    <t xml:space="preserve">Isn't the company valuation too high?</t>
  </si>
  <si>
    <t xml:space="preserve">₱50M and ₱75M are starting points to negotiate. Royalties pay investors back first, which is why we offer less ownership.</t>
  </si>
  <si>
    <t xml:space="preserve">What if you never sell the company?</t>
  </si>
  <si>
    <t xml:space="preserve">Investors still get royalties: about half their money back by Year 5 in the normal case, continuing until ₱8M is repaid.</t>
  </si>
  <si>
    <t xml:space="preserve">How much do you earn per pod?</t>
  </si>
  <si>
    <t xml:space="preserve">₱2,400 per pod (12%). After the ₱750 royalty, ₱1,650. We plan cheaper custom circuit boards to improve this.</t>
  </si>
  <si>
    <t xml:space="preserve">Is 95% uptime good enough for SOS?</t>
  </si>
  <si>
    <t xml:space="preserve">95% still allows about 108 hours of downtime in 90 days, so we will define stricter SOS tests (number of drills, maximum outage, power and signal failure tests).</t>
  </si>
  <si>
    <t xml:space="preserve">WHAT IF THINGS GO WRONG? (STRESS TESTS, NORMAL CASE)</t>
  </si>
  <si>
    <t xml:space="preserve">What if...</t>
  </si>
  <si>
    <t xml:space="preserve">Everything as planned</t>
  </si>
  <si>
    <t xml:space="preserve">Investors get 3.15× back (41.8% per year). No emergency money needed.</t>
  </si>
  <si>
    <t xml:space="preserve">Towns pay only ₱250,000 instead of ₱350,000</t>
  </si>
  <si>
    <t xml:space="preserve">Investors get 2.97× (39% per year). About ₱0.16M of emergency money needed.</t>
  </si>
  <si>
    <t xml:space="preserve">Only half the pods sell</t>
  </si>
  <si>
    <t xml:space="preserve">Investors get 1.99× (23% per year). About ₱0.53M of emergency money needed.</t>
  </si>
  <si>
    <t xml:space="preserve">Pods never get cheaper to build</t>
  </si>
  <si>
    <t xml:space="preserve">Investors get 2.90× (38% per year). About ₱7.92M of emergency money needed. Biggest cash danger.</t>
  </si>
  <si>
    <t xml:space="preserve">20% of towns cancel every year</t>
  </si>
  <si>
    <t xml:space="preserve">Investors get 2.93× (39% per year). No emergency money needed.</t>
  </si>
  <si>
    <t xml:space="preserve">Lower town fee AND half the pods</t>
  </si>
  <si>
    <t xml:space="preserve">Investors get 1.71× (18% per year). About ₱6.11M of emergency money needed.</t>
  </si>
  <si>
    <t xml:space="preserve">SAY THIS / AVOID THIS</t>
  </si>
  <si>
    <t xml:space="preserve">Say</t>
  </si>
  <si>
    <t xml:space="preserve">Avoid</t>
  </si>
  <si>
    <t xml:space="preserve">'We are asking DOST to fund a measured SOS pilot in New Washington; AI features will be tested alongside it.'</t>
  </si>
  <si>
    <t xml:space="preserve">Saying the shoreline is already covered.</t>
  </si>
  <si>
    <t xml:space="preserve">'Every cost comes from our itemized budget; estimates are being quoted.'</t>
  </si>
  <si>
    <t xml:space="preserve">Saying the LGU has agreed to anything.</t>
  </si>
  <si>
    <t xml:space="preserve">'Investors commit now but pay only after each goal is checked.'</t>
  </si>
  <si>
    <t xml:space="preserve">Using old Heltec radio test results as proof of how the new pods perform.</t>
  </si>
  <si>
    <t xml:space="preserve">'The grant proves the technology; investors help it grow.'</t>
  </si>
  <si>
    <t xml:space="preserve">Saying 'national waters'. Say 'municipal waters' (the 15 km zone near shore).</t>
  </si>
  <si>
    <t xml:space="preserve">'These are scenarios, not promises.'</t>
  </si>
  <si>
    <t xml:space="preserve">Presenting investor numbers as guaranteed forecasts.</t>
  </si>
  <si>
    <t xml:space="preserve">Things We Still Need to Do</t>
  </si>
  <si>
    <t xml:space="preserve">Update the Status column as you go (choose from the list).</t>
  </si>
  <si>
    <t xml:space="preserve">#</t>
  </si>
  <si>
    <t xml:space="preserve">Task</t>
  </si>
  <si>
    <t xml:space="preserve">Who to ask</t>
  </si>
  <si>
    <t xml:space="preserve">Why it matters</t>
  </si>
  <si>
    <t xml:space="preserve">Status</t>
  </si>
  <si>
    <t xml:space="preserve">Confirm who officially applies and who the faculty project leader is</t>
  </si>
  <si>
    <t xml:space="preserve">ASU Research Office</t>
  </si>
  <si>
    <t xml:space="preserve">DOST needs a named faculty leader</t>
  </si>
  <si>
    <t xml:space="preserve">Not started</t>
  </si>
  <si>
    <t xml:space="preserve">Ask if DOST allows the 5% contingency line</t>
  </si>
  <si>
    <t xml:space="preserve">If not, the ₱81,215.49 must be removed or turned into specific items</t>
  </si>
  <si>
    <t xml:space="preserve">Confirm stipend rules, faculty honorarium and ASU indirect cost</t>
  </si>
  <si>
    <t xml:space="preserve">ASU Research Office / Accounting</t>
  </si>
  <si>
    <t xml:space="preserve">Could add or change lines</t>
  </si>
  <si>
    <t xml:space="preserve">Ask if the 3 buoy nodes (₱64,150 each) must be listed as equipment</t>
  </si>
  <si>
    <t xml:space="preserve">ASU Accounting</t>
  </si>
  <si>
    <t xml:space="preserve">Each is above ₱50,000 when assembled</t>
  </si>
  <si>
    <t xml:space="preserve">Confirm how student travel is refunded</t>
  </si>
  <si>
    <t xml:space="preserve">Private-car gas is usually not refunded</t>
  </si>
  <si>
    <t xml:space="preserve">Check if ASU's student accident insurance covers work at sea</t>
  </si>
  <si>
    <t xml:space="preserve">ASU</t>
  </si>
  <si>
    <t xml:space="preserve">Could remove the ₱7,000 insurance line</t>
  </si>
  <si>
    <t xml:space="preserve">Confirm ASU's 3D printing rate</t>
  </si>
  <si>
    <t xml:space="preserve">ASU fab lab</t>
  </si>
  <si>
    <t xml:space="preserve">We assumed ₱5 per gram (₱30,000)</t>
  </si>
  <si>
    <t xml:space="preserve">Get store quotes for everything marked 'estimate'</t>
  </si>
  <si>
    <t xml:space="preserve">Suppliers</t>
  </si>
  <si>
    <t xml:space="preserve">Quotes make the budget believable</t>
  </si>
  <si>
    <t xml:space="preserve">Get a price for pumpboat hire in New Washington</t>
  </si>
  <si>
    <t xml:space="preserve">Local boatmen / LGU</t>
  </si>
  <si>
    <t xml:space="preserve">We assumed ₱2,500 per trip</t>
  </si>
  <si>
    <t xml:space="preserve">Choose laptops or tablets for Doreen and KC, with quotes</t>
  </si>
  <si>
    <t xml:space="preserve">Doreen + KC</t>
  </si>
  <si>
    <t xml:space="preserve">₱35,000 each is the limit</t>
  </si>
  <si>
    <t xml:space="preserve">Follow up the LGU letter; ask for an LOI or MOA</t>
  </si>
  <si>
    <t xml:space="preserve">New Washington LGU</t>
  </si>
  <si>
    <t xml:space="preserve">Boats, buoys, sites and permits depend on it</t>
  </si>
  <si>
    <t xml:space="preserve">Settle who owns the AqOne technology (IP) with ASU</t>
  </si>
  <si>
    <t xml:space="preserve">Must be done before taking investor money</t>
  </si>
  <si>
    <t xml:space="preserve">Decide the company setup (register with SEC; AqOne alone or under Better Future)</t>
  </si>
  <si>
    <t xml:space="preserve">Lenard + team</t>
  </si>
  <si>
    <t xml:space="preserve">Investors can only buy shares in a registered corporation</t>
  </si>
  <si>
    <t xml:space="preserve">Write the SOS test rules (how many drills, where, how fast, max downtime)</t>
  </si>
  <si>
    <t xml:space="preserve">Lenard + Daniel</t>
  </si>
  <si>
    <t xml:space="preserve">Judges will ask how we prove SOS works</t>
  </si>
  <si>
    <t xml:space="preserve">Update the Google Sheet copy of the budget (Import &gt; Replace spreadsheet)</t>
  </si>
  <si>
    <t xml:space="preserve">Lenard</t>
  </si>
  <si>
    <t xml:space="preserve">The Drive copy is still the old version</t>
  </si>
  <si>
    <t xml:space="preserve">Fix the free Render database before 8 October (it expires 15 October)</t>
  </si>
  <si>
    <t xml:space="preserve">Otherwise all SOS records are deleted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</si>
</sst>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₱#,##0.00;&quot;(₱&quot;#,##0.00\);\-"/>
    <numFmt numFmtId="166" formatCode="0.0%"/>
    <numFmt numFmtId="167" formatCode="0"/>
    <numFmt numFmtId="168" formatCode="\₱#,##0;&quot;(₱&quot;#,##0\);\-"/>
    <numFmt numFmtId="169" formatCode="#,##0"/>
    <numFmt numFmtId="170" formatCode="0.00\×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2"/>
    <col collapsed="false" customWidth="true" hidden="false" outlineLevel="0" max="3" min="3" style="0" width="52"/>
  </cols>
  <sheetData>
    <row r="1" customFormat="false" ht="25.5" hidden="false" customHeight="true" outlineLevel="0" collapsed="false">
      <c r="A1" s="1" t="s">
        <v>0</v>
      </c>
    </row>
    <row r="2" customFormat="false" ht="33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/>
      <c r="B5" s="4" t="s">
        <v>3</v>
      </c>
      <c r="C5" s="4" t="s">
        <v>4</v>
      </c>
    </row>
    <row r="6" customFormat="false" ht="15" hidden="false" customHeight="false" outlineLevel="0" collapsed="false">
      <c r="A6" s="5" t="s">
        <v>5</v>
      </c>
      <c r="B6" s="5" t="s">
        <v>6</v>
      </c>
      <c r="C6" s="5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  <c r="C7" s="5" t="s">
        <v>10</v>
      </c>
    </row>
    <row r="8" customFormat="false" ht="15" hidden="false" customHeight="false" outlineLevel="0" collapsed="false">
      <c r="A8" s="5" t="s">
        <v>11</v>
      </c>
      <c r="B8" s="5" t="s">
        <v>12</v>
      </c>
      <c r="C8" s="5" t="s">
        <v>13</v>
      </c>
    </row>
    <row r="9" customFormat="false" ht="23.85" hidden="false" customHeight="false" outlineLevel="0" collapsed="false">
      <c r="A9" s="5" t="s">
        <v>14</v>
      </c>
      <c r="B9" s="5" t="s">
        <v>15</v>
      </c>
      <c r="C9" s="5" t="s">
        <v>16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</row>
    <row r="11" customFormat="false" ht="7.5" hidden="false" customHeight="true" outlineLevel="0" collapsed="false"/>
    <row r="12" customFormat="false" ht="18" hidden="false" customHeight="true" outlineLevel="0" collapsed="false">
      <c r="A12" s="6" t="s">
        <v>20</v>
      </c>
      <c r="B12" s="6"/>
      <c r="C12" s="6"/>
    </row>
    <row r="14" customFormat="false" ht="19.5" hidden="false" customHeight="true" outlineLevel="0" collapsed="false">
      <c r="A14" s="3" t="s">
        <v>21</v>
      </c>
      <c r="B14" s="3"/>
      <c r="C14" s="3"/>
    </row>
    <row r="15" customFormat="false" ht="15" hidden="false" customHeight="false" outlineLevel="0" collapsed="false">
      <c r="A15" s="4" t="s">
        <v>22</v>
      </c>
      <c r="B15" s="4" t="s">
        <v>23</v>
      </c>
      <c r="C15" s="4" t="s">
        <v>24</v>
      </c>
    </row>
    <row r="16" customFormat="false" ht="15" hidden="false" customHeight="false" outlineLevel="0" collapsed="false">
      <c r="A16" s="5" t="s">
        <v>25</v>
      </c>
      <c r="B16" s="5" t="s">
        <v>26</v>
      </c>
      <c r="C16" s="5" t="s">
        <v>27</v>
      </c>
    </row>
    <row r="17" customFormat="false" ht="15" hidden="false" customHeight="false" outlineLevel="0" collapsed="false">
      <c r="A17" s="5" t="s">
        <v>28</v>
      </c>
      <c r="B17" s="5" t="s">
        <v>29</v>
      </c>
      <c r="C17" s="5" t="s">
        <v>30</v>
      </c>
    </row>
    <row r="18" customFormat="false" ht="15" hidden="false" customHeight="false" outlineLevel="0" collapsed="false">
      <c r="A18" s="5" t="s">
        <v>31</v>
      </c>
      <c r="B18" s="5" t="s">
        <v>32</v>
      </c>
      <c r="C18" s="5" t="s">
        <v>33</v>
      </c>
    </row>
    <row r="19" customFormat="false" ht="15" hidden="false" customHeight="false" outlineLevel="0" collapsed="false">
      <c r="A19" s="5" t="s">
        <v>34</v>
      </c>
      <c r="B19" s="5" t="s">
        <v>35</v>
      </c>
      <c r="C19" s="5" t="s">
        <v>36</v>
      </c>
    </row>
    <row r="20" customFormat="false" ht="15" hidden="false" customHeight="false" outlineLevel="0" collapsed="false">
      <c r="A20" s="5" t="s">
        <v>37</v>
      </c>
      <c r="B20" s="5" t="s">
        <v>38</v>
      </c>
      <c r="C20" s="5" t="s">
        <v>39</v>
      </c>
    </row>
    <row r="21" customFormat="false" ht="15" hidden="false" customHeight="false" outlineLevel="0" collapsed="false">
      <c r="A21" s="5" t="s">
        <v>40</v>
      </c>
      <c r="B21" s="5" t="s">
        <v>41</v>
      </c>
      <c r="C21" s="5" t="s">
        <v>42</v>
      </c>
    </row>
    <row r="22" customFormat="false" ht="15" hidden="false" customHeight="false" outlineLevel="0" collapsed="false">
      <c r="A22" s="5" t="s">
        <v>43</v>
      </c>
      <c r="B22" s="5" t="s">
        <v>44</v>
      </c>
      <c r="C22" s="5" t="s">
        <v>45</v>
      </c>
    </row>
    <row r="24" customFormat="false" ht="33" hidden="false" customHeight="true" outlineLevel="0" collapsed="false">
      <c r="A24" s="2" t="s">
        <v>46</v>
      </c>
      <c r="B24" s="2"/>
      <c r="C24" s="2"/>
    </row>
    <row r="26" customFormat="false" ht="19.5" hidden="false" customHeight="true" outlineLevel="0" collapsed="false">
      <c r="A26" s="3" t="s">
        <v>47</v>
      </c>
      <c r="B26" s="3"/>
      <c r="C26" s="3"/>
    </row>
    <row r="27" customFormat="false" ht="15" hidden="false" customHeight="false" outlineLevel="0" collapsed="false">
      <c r="A27" s="4" t="s">
        <v>48</v>
      </c>
      <c r="B27" s="4" t="s">
        <v>49</v>
      </c>
      <c r="C27" s="4" t="s">
        <v>50</v>
      </c>
    </row>
    <row r="28" customFormat="false" ht="23.85" hidden="false" customHeight="false" outlineLevel="0" collapsed="false">
      <c r="A28" s="5" t="s">
        <v>51</v>
      </c>
      <c r="B28" s="5" t="s">
        <v>52</v>
      </c>
      <c r="C28" s="5" t="s">
        <v>53</v>
      </c>
    </row>
    <row r="29" customFormat="false" ht="23.85" hidden="false" customHeight="false" outlineLevel="0" collapsed="false">
      <c r="A29" s="5" t="s">
        <v>54</v>
      </c>
      <c r="B29" s="5" t="s">
        <v>55</v>
      </c>
      <c r="C29" s="5" t="s">
        <v>56</v>
      </c>
    </row>
    <row r="30" customFormat="false" ht="15" hidden="false" customHeight="false" outlineLevel="0" collapsed="false">
      <c r="A30" s="5" t="s">
        <v>57</v>
      </c>
      <c r="B30" s="5" t="s">
        <v>58</v>
      </c>
      <c r="C30" s="5" t="s">
        <v>59</v>
      </c>
    </row>
    <row r="31" customFormat="false" ht="23.85" hidden="false" customHeight="false" outlineLevel="0" collapsed="false">
      <c r="A31" s="5" t="s">
        <v>60</v>
      </c>
      <c r="B31" s="5" t="s">
        <v>61</v>
      </c>
      <c r="C31" s="5" t="s">
        <v>62</v>
      </c>
    </row>
    <row r="32" customFormat="false" ht="23.85" hidden="false" customHeight="false" outlineLevel="0" collapsed="false">
      <c r="A32" s="5" t="s">
        <v>63</v>
      </c>
      <c r="B32" s="5" t="s">
        <v>64</v>
      </c>
      <c r="C32" s="5" t="s">
        <v>65</v>
      </c>
    </row>
    <row r="33" customFormat="false" ht="23.85" hidden="false" customHeight="false" outlineLevel="0" collapsed="false">
      <c r="A33" s="5" t="s">
        <v>66</v>
      </c>
      <c r="B33" s="5" t="s">
        <v>67</v>
      </c>
      <c r="C33" s="5" t="s">
        <v>68</v>
      </c>
    </row>
    <row r="34" customFormat="false" ht="23.85" hidden="false" customHeight="false" outlineLevel="0" collapsed="false">
      <c r="A34" s="5" t="s">
        <v>69</v>
      </c>
      <c r="B34" s="5" t="s">
        <v>70</v>
      </c>
      <c r="C34" s="5" t="s">
        <v>71</v>
      </c>
    </row>
    <row r="35" customFormat="false" ht="23.85" hidden="false" customHeight="false" outlineLevel="0" collapsed="false">
      <c r="A35" s="5" t="s">
        <v>72</v>
      </c>
      <c r="B35" s="5" t="s">
        <v>73</v>
      </c>
      <c r="C35" s="5" t="s">
        <v>74</v>
      </c>
    </row>
    <row r="36" customFormat="false" ht="23.85" hidden="false" customHeight="false" outlineLevel="0" collapsed="false">
      <c r="A36" s="5" t="s">
        <v>75</v>
      </c>
      <c r="B36" s="5" t="s">
        <v>76</v>
      </c>
      <c r="C36" s="5" t="s">
        <v>77</v>
      </c>
    </row>
    <row r="37" customFormat="false" ht="15" hidden="false" customHeight="false" outlineLevel="0" collapsed="false">
      <c r="A37" s="5" t="s">
        <v>78</v>
      </c>
      <c r="B37" s="5" t="s">
        <v>79</v>
      </c>
      <c r="C37" s="5" t="s">
        <v>80</v>
      </c>
    </row>
    <row r="38" customFormat="false" ht="23.85" hidden="false" customHeight="false" outlineLevel="0" collapsed="false">
      <c r="A38" s="5" t="s">
        <v>81</v>
      </c>
      <c r="B38" s="5" t="s">
        <v>82</v>
      </c>
      <c r="C38" s="5" t="s">
        <v>83</v>
      </c>
    </row>
    <row r="39" customFormat="false" ht="23.85" hidden="false" customHeight="false" outlineLevel="0" collapsed="false">
      <c r="A39" s="5" t="s">
        <v>84</v>
      </c>
      <c r="B39" s="5" t="s">
        <v>85</v>
      </c>
      <c r="C39" s="5" t="s">
        <v>86</v>
      </c>
    </row>
    <row r="40" customFormat="false" ht="23.85" hidden="false" customHeight="false" outlineLevel="0" collapsed="false">
      <c r="A40" s="5" t="s">
        <v>87</v>
      </c>
      <c r="B40" s="5" t="s">
        <v>88</v>
      </c>
      <c r="C40" s="5" t="s">
        <v>89</v>
      </c>
    </row>
    <row r="41" customFormat="false" ht="15" hidden="false" customHeight="false" outlineLevel="0" collapsed="false">
      <c r="A41" s="5" t="s">
        <v>90</v>
      </c>
      <c r="B41" s="5" t="s">
        <v>91</v>
      </c>
      <c r="C41" s="5" t="s">
        <v>92</v>
      </c>
    </row>
    <row r="42" customFormat="false" ht="15" hidden="false" customHeight="false" outlineLevel="0" collapsed="false">
      <c r="A42" s="5" t="s">
        <v>93</v>
      </c>
      <c r="B42" s="5" t="s">
        <v>94</v>
      </c>
      <c r="C42" s="5" t="s">
        <v>95</v>
      </c>
    </row>
    <row r="43" customFormat="false" ht="15" hidden="false" customHeight="false" outlineLevel="0" collapsed="false">
      <c r="A43" s="5" t="s">
        <v>96</v>
      </c>
      <c r="B43" s="5" t="s">
        <v>97</v>
      </c>
      <c r="C43" s="5" t="s">
        <v>98</v>
      </c>
    </row>
    <row r="44" customFormat="false" ht="23.85" hidden="false" customHeight="false" outlineLevel="0" collapsed="false">
      <c r="A44" s="5" t="s">
        <v>99</v>
      </c>
      <c r="B44" s="5" t="s">
        <v>100</v>
      </c>
      <c r="C44" s="5" t="s">
        <v>101</v>
      </c>
    </row>
    <row r="45" customFormat="false" ht="15" hidden="false" customHeight="false" outlineLevel="0" collapsed="false">
      <c r="A45" s="5" t="s">
        <v>102</v>
      </c>
      <c r="B45" s="5" t="s">
        <v>103</v>
      </c>
      <c r="C45" s="5" t="s">
        <v>104</v>
      </c>
    </row>
    <row r="46" customFormat="false" ht="15" hidden="false" customHeight="false" outlineLevel="0" collapsed="false">
      <c r="A46" s="5" t="s">
        <v>105</v>
      </c>
      <c r="B46" s="5" t="s">
        <v>106</v>
      </c>
      <c r="C46" s="5" t="s">
        <v>107</v>
      </c>
    </row>
    <row r="47" customFormat="false" ht="15" hidden="false" customHeight="false" outlineLevel="0" collapsed="false">
      <c r="A47" s="5" t="s">
        <v>108</v>
      </c>
      <c r="B47" s="5" t="s">
        <v>109</v>
      </c>
      <c r="C47" s="5" t="s">
        <v>110</v>
      </c>
    </row>
    <row r="48" customFormat="false" ht="23.85" hidden="false" customHeight="false" outlineLevel="0" collapsed="false">
      <c r="A48" s="5" t="s">
        <v>111</v>
      </c>
      <c r="B48" s="5" t="s">
        <v>112</v>
      </c>
      <c r="C48" s="5" t="s">
        <v>113</v>
      </c>
    </row>
    <row r="49" customFormat="false" ht="15" hidden="false" customHeight="false" outlineLevel="0" collapsed="false">
      <c r="A49" s="5" t="s">
        <v>114</v>
      </c>
      <c r="B49" s="5" t="s">
        <v>115</v>
      </c>
      <c r="C49" s="5" t="s">
        <v>116</v>
      </c>
    </row>
    <row r="50" customFormat="false" ht="23.85" hidden="false" customHeight="false" outlineLevel="0" collapsed="false">
      <c r="A50" s="5" t="s">
        <v>117</v>
      </c>
      <c r="B50" s="5" t="s">
        <v>118</v>
      </c>
      <c r="C50" s="5" t="s">
        <v>119</v>
      </c>
    </row>
    <row r="51" customFormat="false" ht="15" hidden="false" customHeight="false" outlineLevel="0" collapsed="false">
      <c r="A51" s="5" t="s">
        <v>120</v>
      </c>
      <c r="B51" s="5" t="s">
        <v>121</v>
      </c>
      <c r="C51" s="5" t="s">
        <v>122</v>
      </c>
    </row>
    <row r="52" customFormat="false" ht="23.85" hidden="false" customHeight="false" outlineLevel="0" collapsed="false">
      <c r="A52" s="5" t="s">
        <v>123</v>
      </c>
      <c r="B52" s="5" t="s">
        <v>124</v>
      </c>
      <c r="C52" s="5" t="s">
        <v>125</v>
      </c>
    </row>
    <row r="53" customFormat="false" ht="23.85" hidden="false" customHeight="false" outlineLevel="0" collapsed="false">
      <c r="A53" s="5" t="s">
        <v>126</v>
      </c>
      <c r="B53" s="5" t="s">
        <v>127</v>
      </c>
      <c r="C53" s="5" t="s">
        <v>128</v>
      </c>
    </row>
    <row r="54" customFormat="false" ht="15" hidden="false" customHeight="false" outlineLevel="0" collapsed="false">
      <c r="A54" s="5" t="s">
        <v>129</v>
      </c>
      <c r="B54" s="5" t="s">
        <v>130</v>
      </c>
      <c r="C54" s="5" t="s">
        <v>131</v>
      </c>
    </row>
    <row r="55" customFormat="false" ht="23.85" hidden="false" customHeight="false" outlineLevel="0" collapsed="false">
      <c r="A55" s="5" t="s">
        <v>132</v>
      </c>
      <c r="B55" s="5" t="s">
        <v>133</v>
      </c>
      <c r="C55" s="5" t="s">
        <v>134</v>
      </c>
    </row>
    <row r="56" customFormat="false" ht="23.85" hidden="false" customHeight="false" outlineLevel="0" collapsed="false">
      <c r="A56" s="5" t="s">
        <v>135</v>
      </c>
      <c r="B56" s="5" t="s">
        <v>136</v>
      </c>
      <c r="C56" s="5" t="s">
        <v>137</v>
      </c>
    </row>
    <row r="57" customFormat="false" ht="15" hidden="false" customHeight="false" outlineLevel="0" collapsed="false">
      <c r="A57" s="5" t="s">
        <v>138</v>
      </c>
      <c r="B57" s="5" t="s">
        <v>139</v>
      </c>
      <c r="C57" s="5" t="s">
        <v>140</v>
      </c>
    </row>
    <row r="58" customFormat="false" ht="15" hidden="false" customHeight="false" outlineLevel="0" collapsed="false">
      <c r="A58" s="5" t="s">
        <v>141</v>
      </c>
      <c r="B58" s="5" t="s">
        <v>142</v>
      </c>
      <c r="C58" s="5" t="s">
        <v>143</v>
      </c>
    </row>
    <row r="59" customFormat="false" ht="23.85" hidden="false" customHeight="false" outlineLevel="0" collapsed="false">
      <c r="A59" s="5" t="s">
        <v>144</v>
      </c>
      <c r="B59" s="5" t="s">
        <v>145</v>
      </c>
      <c r="C59" s="5" t="s">
        <v>146</v>
      </c>
    </row>
    <row r="60" customFormat="false" ht="15" hidden="false" customHeight="false" outlineLevel="0" collapsed="false">
      <c r="A60" s="5" t="s">
        <v>147</v>
      </c>
      <c r="B60" s="5" t="s">
        <v>148</v>
      </c>
      <c r="C60" s="5" t="s">
        <v>149</v>
      </c>
    </row>
  </sheetData>
  <mergeCells count="6">
    <mergeCell ref="A2:C2"/>
    <mergeCell ref="A4:C4"/>
    <mergeCell ref="A12:C12"/>
    <mergeCell ref="A14:C14"/>
    <mergeCell ref="A24:C2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25.5" hidden="false" customHeight="true" outlineLevel="0" collapsed="false">
      <c r="A1" s="1" t="s">
        <v>150</v>
      </c>
    </row>
    <row r="2" customFormat="false" ht="18" hidden="false" customHeight="true" outlineLevel="0" collapsed="false">
      <c r="A2" s="2" t="s">
        <v>151</v>
      </c>
      <c r="B2" s="2"/>
      <c r="C2" s="2"/>
      <c r="D2" s="2"/>
    </row>
    <row r="4" customFormat="false" ht="19.5" hidden="false" customHeight="true" outlineLevel="0" collapsed="false">
      <c r="A4" s="3" t="s">
        <v>152</v>
      </c>
      <c r="B4" s="3"/>
      <c r="C4" s="3"/>
      <c r="D4" s="3"/>
    </row>
    <row r="5" customFormat="false" ht="23.85" hidden="false" customHeight="false" outlineLevel="0" collapsed="false">
      <c r="A5" s="7" t="s">
        <v>153</v>
      </c>
      <c r="B5" s="8" t="n">
        <f aca="false">B20</f>
        <v>1705525.37</v>
      </c>
      <c r="D5" s="9" t="s">
        <v>154</v>
      </c>
    </row>
    <row r="7" customFormat="false" ht="19.5" hidden="false" customHeight="true" outlineLevel="0" collapsed="false">
      <c r="A7" s="3" t="s">
        <v>155</v>
      </c>
      <c r="B7" s="3"/>
      <c r="C7" s="3"/>
      <c r="D7" s="3"/>
    </row>
    <row r="8" customFormat="false" ht="15" hidden="false" customHeight="false" outlineLevel="0" collapsed="false">
      <c r="A8" s="4" t="s">
        <v>156</v>
      </c>
      <c r="B8" s="10" t="s">
        <v>157</v>
      </c>
      <c r="C8" s="10" t="s">
        <v>158</v>
      </c>
      <c r="D8" s="4" t="s">
        <v>11</v>
      </c>
    </row>
    <row r="9" customFormat="false" ht="15" hidden="false" customHeight="false" outlineLevel="0" collapsed="false">
      <c r="A9" s="5" t="s">
        <v>159</v>
      </c>
      <c r="B9" s="11" t="n">
        <v>238893.2</v>
      </c>
      <c r="C9" s="12" t="n">
        <f aca="false">B9/$B$20</f>
        <v>0.140070153280687</v>
      </c>
      <c r="D9" s="5" t="s">
        <v>160</v>
      </c>
    </row>
    <row r="10" customFormat="false" ht="23.85" hidden="false" customHeight="false" outlineLevel="0" collapsed="false">
      <c r="A10" s="5" t="s">
        <v>161</v>
      </c>
      <c r="B10" s="11" t="n">
        <v>750798</v>
      </c>
      <c r="C10" s="12" t="n">
        <f aca="false">B10/$B$20</f>
        <v>0.440215087507024</v>
      </c>
      <c r="D10" s="5" t="s">
        <v>162</v>
      </c>
    </row>
    <row r="11" customFormat="false" ht="15" hidden="false" customHeight="false" outlineLevel="0" collapsed="false">
      <c r="A11" s="5" t="s">
        <v>163</v>
      </c>
      <c r="B11" s="11" t="n">
        <v>126504</v>
      </c>
      <c r="C11" s="12" t="n">
        <f aca="false">B11/$B$20</f>
        <v>0.0741730391263544</v>
      </c>
      <c r="D11" s="5" t="s">
        <v>164</v>
      </c>
    </row>
    <row r="12" customFormat="false" ht="23.85" hidden="false" customHeight="false" outlineLevel="0" collapsed="false">
      <c r="A12" s="5" t="s">
        <v>165</v>
      </c>
      <c r="B12" s="11" t="n">
        <v>68492.88</v>
      </c>
      <c r="C12" s="12" t="n">
        <f aca="false">B12/$B$20</f>
        <v>0.0401594026126976</v>
      </c>
      <c r="D12" s="5" t="s">
        <v>166</v>
      </c>
    </row>
    <row r="13" customFormat="false" ht="15" hidden="false" customHeight="false" outlineLevel="0" collapsed="false">
      <c r="A13" s="5" t="s">
        <v>167</v>
      </c>
      <c r="B13" s="11" t="n">
        <v>48581.8</v>
      </c>
      <c r="C13" s="12" t="n">
        <f aca="false">B13/$B$20</f>
        <v>0.0284849471339145</v>
      </c>
      <c r="D13" s="5" t="s">
        <v>168</v>
      </c>
    </row>
    <row r="14" customFormat="false" ht="15" hidden="false" customHeight="false" outlineLevel="0" collapsed="false">
      <c r="A14" s="5" t="s">
        <v>169</v>
      </c>
      <c r="B14" s="11" t="n">
        <v>130000</v>
      </c>
      <c r="C14" s="12" t="n">
        <f aca="false">B14/$B$20</f>
        <v>0.0762228473915929</v>
      </c>
      <c r="D14" s="5" t="s">
        <v>170</v>
      </c>
    </row>
    <row r="15" customFormat="false" ht="23.85" hidden="false" customHeight="false" outlineLevel="0" collapsed="false">
      <c r="A15" s="5" t="s">
        <v>171</v>
      </c>
      <c r="B15" s="11" t="n">
        <v>93000</v>
      </c>
      <c r="C15" s="12" t="n">
        <f aca="false">B15/$B$20</f>
        <v>0.0545286523647549</v>
      </c>
      <c r="D15" s="5" t="s">
        <v>172</v>
      </c>
    </row>
    <row r="16" customFormat="false" ht="15" hidden="false" customHeight="false" outlineLevel="0" collapsed="false">
      <c r="A16" s="5" t="s">
        <v>173</v>
      </c>
      <c r="B16" s="11" t="n">
        <v>58050</v>
      </c>
      <c r="C16" s="12" t="n">
        <f aca="false">B16/$B$20</f>
        <v>0.0340364330083228</v>
      </c>
      <c r="D16" s="5" t="s">
        <v>174</v>
      </c>
    </row>
    <row r="17" customFormat="false" ht="15" hidden="false" customHeight="false" outlineLevel="0" collapsed="false">
      <c r="A17" s="5" t="s">
        <v>175</v>
      </c>
      <c r="B17" s="11" t="n">
        <v>109990</v>
      </c>
      <c r="C17" s="12" t="n">
        <f aca="false">B17/$B$20</f>
        <v>0.0644903921892408</v>
      </c>
      <c r="D17" s="5" t="s">
        <v>176</v>
      </c>
    </row>
    <row r="18" customFormat="false" ht="15" hidden="false" customHeight="false" outlineLevel="0" collapsed="false">
      <c r="A18" s="13" t="s">
        <v>177</v>
      </c>
      <c r="B18" s="14" t="n">
        <f aca="false">SUM(B9:B17)</f>
        <v>1624309.88</v>
      </c>
      <c r="C18" s="15" t="n">
        <f aca="false">B18/$B$20</f>
        <v>0.952380954614589</v>
      </c>
      <c r="D18" s="16"/>
    </row>
    <row r="19" customFormat="false" ht="28.35" hidden="false" customHeight="false" outlineLevel="0" collapsed="false">
      <c r="A19" s="16" t="s">
        <v>178</v>
      </c>
      <c r="B19" s="17" t="n">
        <f aca="false">ROUND(B18*0.05,2)</f>
        <v>81215.49</v>
      </c>
      <c r="C19" s="15" t="n">
        <f aca="false">B19/$B$20</f>
        <v>0.0476190453854111</v>
      </c>
      <c r="D19" s="18" t="s">
        <v>179</v>
      </c>
    </row>
    <row r="20" customFormat="false" ht="15" hidden="false" customHeight="false" outlineLevel="0" collapsed="false">
      <c r="A20" s="19" t="s">
        <v>180</v>
      </c>
      <c r="B20" s="20" t="n">
        <f aca="false">B18+B19</f>
        <v>1705525.37</v>
      </c>
      <c r="C20" s="21"/>
      <c r="D20" s="21"/>
    </row>
    <row r="22" customFormat="false" ht="19.5" hidden="false" customHeight="true" outlineLevel="0" collapsed="false">
      <c r="A22" s="3" t="s">
        <v>181</v>
      </c>
      <c r="B22" s="3"/>
      <c r="C22" s="3"/>
      <c r="D22" s="3"/>
    </row>
    <row r="23" customFormat="false" ht="15" hidden="false" customHeight="false" outlineLevel="0" collapsed="false">
      <c r="A23" s="4" t="s">
        <v>182</v>
      </c>
      <c r="B23" s="10" t="s">
        <v>183</v>
      </c>
      <c r="C23" s="10" t="s">
        <v>184</v>
      </c>
      <c r="D23" s="4" t="s">
        <v>185</v>
      </c>
    </row>
    <row r="24" customFormat="false" ht="23.85" hidden="false" customHeight="false" outlineLevel="0" collapsed="false">
      <c r="A24" s="5" t="s">
        <v>186</v>
      </c>
      <c r="B24" s="22" t="n">
        <v>20</v>
      </c>
      <c r="C24" s="11" t="n">
        <f aca="false">B24*52*65.63</f>
        <v>68255.2</v>
      </c>
      <c r="D24" s="5" t="s">
        <v>187</v>
      </c>
    </row>
    <row r="25" customFormat="false" ht="15" hidden="false" customHeight="false" outlineLevel="0" collapsed="false">
      <c r="A25" s="5" t="s">
        <v>188</v>
      </c>
      <c r="B25" s="22" t="n">
        <v>10</v>
      </c>
      <c r="C25" s="11" t="n">
        <f aca="false">B25*52*65.63</f>
        <v>34127.6</v>
      </c>
      <c r="D25" s="5" t="s">
        <v>189</v>
      </c>
    </row>
    <row r="26" customFormat="false" ht="15" hidden="false" customHeight="false" outlineLevel="0" collapsed="false">
      <c r="A26" s="5" t="s">
        <v>190</v>
      </c>
      <c r="B26" s="22" t="n">
        <v>10</v>
      </c>
      <c r="C26" s="11" t="n">
        <f aca="false">B26*52*65.63</f>
        <v>34127.6</v>
      </c>
      <c r="D26" s="5" t="s">
        <v>189</v>
      </c>
    </row>
    <row r="27" customFormat="false" ht="15" hidden="false" customHeight="false" outlineLevel="0" collapsed="false">
      <c r="A27" s="5" t="s">
        <v>191</v>
      </c>
      <c r="B27" s="22" t="n">
        <v>10</v>
      </c>
      <c r="C27" s="11" t="n">
        <f aca="false">B27*52*65.63</f>
        <v>34127.6</v>
      </c>
      <c r="D27" s="5" t="s">
        <v>189</v>
      </c>
    </row>
    <row r="28" customFormat="false" ht="23.85" hidden="false" customHeight="false" outlineLevel="0" collapsed="false">
      <c r="A28" s="5" t="s">
        <v>192</v>
      </c>
      <c r="B28" s="22" t="n">
        <v>10</v>
      </c>
      <c r="C28" s="11" t="n">
        <f aca="false">B28*52*65.63</f>
        <v>34127.6</v>
      </c>
      <c r="D28" s="5" t="s">
        <v>189</v>
      </c>
    </row>
    <row r="29" customFormat="false" ht="23.85" hidden="false" customHeight="false" outlineLevel="0" collapsed="false">
      <c r="A29" s="5" t="s">
        <v>193</v>
      </c>
      <c r="B29" s="22" t="n">
        <v>10</v>
      </c>
      <c r="C29" s="11" t="n">
        <f aca="false">B29*52*65.63</f>
        <v>34127.6</v>
      </c>
      <c r="D29" s="5" t="s">
        <v>189</v>
      </c>
    </row>
    <row r="30" customFormat="false" ht="15" hidden="false" customHeight="false" outlineLevel="0" collapsed="false">
      <c r="A30" s="13" t="s">
        <v>194</v>
      </c>
      <c r="B30" s="16"/>
      <c r="C30" s="14" t="n">
        <f aca="false">SUM(C24:C29)</f>
        <v>238893.2</v>
      </c>
      <c r="D30" s="16" t="s">
        <v>195</v>
      </c>
    </row>
    <row r="32" customFormat="false" ht="19.5" hidden="false" customHeight="true" outlineLevel="0" collapsed="false">
      <c r="A32" s="3" t="s">
        <v>196</v>
      </c>
      <c r="B32" s="3"/>
      <c r="C32" s="3"/>
      <c r="D32" s="3"/>
    </row>
    <row r="33" customFormat="false" ht="15" hidden="false" customHeight="false" outlineLevel="0" collapsed="false">
      <c r="A33" s="4" t="s">
        <v>197</v>
      </c>
      <c r="B33" s="10" t="s">
        <v>198</v>
      </c>
      <c r="C33" s="4"/>
      <c r="D33" s="4" t="s">
        <v>199</v>
      </c>
    </row>
    <row r="34" customFormat="false" ht="15" hidden="false" customHeight="false" outlineLevel="0" collapsed="false">
      <c r="A34" s="5" t="s">
        <v>200</v>
      </c>
      <c r="B34" s="11" t="n">
        <v>34300</v>
      </c>
      <c r="C34" s="5"/>
      <c r="D34" s="5" t="s">
        <v>201</v>
      </c>
    </row>
    <row r="35" customFormat="false" ht="15" hidden="false" customHeight="false" outlineLevel="0" collapsed="false">
      <c r="A35" s="5" t="s">
        <v>202</v>
      </c>
      <c r="B35" s="11" t="n">
        <v>7700</v>
      </c>
      <c r="C35" s="5"/>
      <c r="D35" s="5" t="s">
        <v>203</v>
      </c>
    </row>
    <row r="36" customFormat="false" ht="15" hidden="false" customHeight="false" outlineLevel="0" collapsed="false">
      <c r="A36" s="5" t="s">
        <v>204</v>
      </c>
      <c r="B36" s="11" t="n">
        <v>40000</v>
      </c>
      <c r="C36" s="5"/>
      <c r="D36" s="5" t="s">
        <v>205</v>
      </c>
    </row>
    <row r="37" customFormat="false" ht="15" hidden="false" customHeight="false" outlineLevel="0" collapsed="false">
      <c r="A37" s="5" t="s">
        <v>206</v>
      </c>
      <c r="B37" s="11" t="n">
        <v>58050</v>
      </c>
      <c r="C37" s="5"/>
      <c r="D37" s="5" t="s">
        <v>207</v>
      </c>
    </row>
    <row r="38" customFormat="false" ht="15" hidden="false" customHeight="false" outlineLevel="0" collapsed="false">
      <c r="A38" s="5" t="s">
        <v>208</v>
      </c>
      <c r="B38" s="11" t="n">
        <v>7002.5</v>
      </c>
      <c r="C38" s="5"/>
      <c r="D38" s="5" t="s">
        <v>209</v>
      </c>
    </row>
    <row r="39" customFormat="false" ht="15" hidden="false" customHeight="false" outlineLevel="0" collapsed="false">
      <c r="A39" s="23" t="s">
        <v>210</v>
      </c>
      <c r="B39" s="24" t="n">
        <f aca="false">SUM(B34:B38)</f>
        <v>147052.5</v>
      </c>
      <c r="C39" s="23"/>
      <c r="D39" s="23" t="s">
        <v>211</v>
      </c>
    </row>
    <row r="41" customFormat="false" ht="33" hidden="false" customHeight="true" outlineLevel="0" collapsed="false">
      <c r="A41" s="2" t="s">
        <v>212</v>
      </c>
      <c r="B41" s="2"/>
      <c r="C41" s="2"/>
      <c r="D41" s="2"/>
    </row>
  </sheetData>
  <mergeCells count="6">
    <mergeCell ref="A2:D2"/>
    <mergeCell ref="A4:D4"/>
    <mergeCell ref="A7:D7"/>
    <mergeCell ref="A22:D22"/>
    <mergeCell ref="A32:D32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213</v>
      </c>
    </row>
    <row r="2" customFormat="false" ht="18" hidden="false" customHeight="true" outlineLevel="0" collapsed="false">
      <c r="A2" s="2" t="s">
        <v>214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215</v>
      </c>
      <c r="B4" s="3"/>
      <c r="C4" s="3"/>
      <c r="D4" s="3"/>
      <c r="E4" s="3"/>
    </row>
    <row r="5" customFormat="false" ht="15" hidden="false" customHeight="false" outlineLevel="0" collapsed="false">
      <c r="A5" s="4" t="s">
        <v>216</v>
      </c>
      <c r="B5" s="4" t="s">
        <v>217</v>
      </c>
      <c r="C5" s="10" t="s">
        <v>218</v>
      </c>
      <c r="D5" s="10" t="s">
        <v>219</v>
      </c>
      <c r="E5" s="10" t="s">
        <v>220</v>
      </c>
    </row>
    <row r="6" customFormat="false" ht="35.05" hidden="false" customHeight="false" outlineLevel="0" collapsed="false">
      <c r="A6" s="5" t="s">
        <v>221</v>
      </c>
      <c r="B6" s="5" t="s">
        <v>222</v>
      </c>
      <c r="C6" s="22" t="n">
        <v>3</v>
      </c>
      <c r="D6" s="25" t="n">
        <v>64150</v>
      </c>
      <c r="E6" s="25" t="n">
        <f aca="false">C6*D6</f>
        <v>192450</v>
      </c>
    </row>
    <row r="7" customFormat="false" ht="35.05" hidden="false" customHeight="false" outlineLevel="0" collapsed="false">
      <c r="A7" s="5" t="s">
        <v>223</v>
      </c>
      <c r="B7" s="5" t="s">
        <v>224</v>
      </c>
      <c r="C7" s="22" t="n">
        <v>22</v>
      </c>
      <c r="D7" s="25" t="n">
        <v>17500</v>
      </c>
      <c r="E7" s="25" t="n">
        <f aca="false">C7*D7</f>
        <v>385000</v>
      </c>
    </row>
    <row r="8" customFormat="false" ht="35.05" hidden="false" customHeight="false" outlineLevel="0" collapsed="false">
      <c r="A8" s="5" t="s">
        <v>225</v>
      </c>
      <c r="B8" s="5" t="s">
        <v>226</v>
      </c>
      <c r="C8" s="22" t="n">
        <v>2</v>
      </c>
      <c r="D8" s="25" t="n">
        <v>37400</v>
      </c>
      <c r="E8" s="25" t="n">
        <f aca="false">C8*D8</f>
        <v>74800</v>
      </c>
    </row>
    <row r="9" customFormat="false" ht="15" hidden="false" customHeight="false" outlineLevel="0" collapsed="false">
      <c r="A9" s="26" t="s">
        <v>227</v>
      </c>
      <c r="E9" s="27" t="n">
        <f aca="false">SUM(E6:E8)</f>
        <v>652250</v>
      </c>
    </row>
    <row r="11" customFormat="false" ht="19.5" hidden="false" customHeight="true" outlineLevel="0" collapsed="false">
      <c r="A11" s="3" t="s">
        <v>228</v>
      </c>
      <c r="B11" s="3"/>
      <c r="C11" s="3"/>
      <c r="D11" s="3"/>
      <c r="E11" s="3"/>
    </row>
    <row r="12" customFormat="false" ht="15" hidden="false" customHeight="false" outlineLevel="0" collapsed="false">
      <c r="A12" s="4" t="s">
        <v>229</v>
      </c>
      <c r="B12" s="4" t="s">
        <v>230</v>
      </c>
      <c r="C12" s="10" t="s">
        <v>218</v>
      </c>
      <c r="D12" s="10" t="s">
        <v>219</v>
      </c>
      <c r="E12" s="10" t="s">
        <v>220</v>
      </c>
    </row>
    <row r="13" customFormat="false" ht="15" hidden="false" customHeight="false" outlineLevel="0" collapsed="false">
      <c r="A13" s="5" t="s">
        <v>231</v>
      </c>
      <c r="B13" s="5" t="s">
        <v>232</v>
      </c>
      <c r="C13" s="22" t="n">
        <v>1</v>
      </c>
      <c r="D13" s="25" t="n">
        <v>3000</v>
      </c>
      <c r="E13" s="25" t="n">
        <f aca="false">C13*D13</f>
        <v>3000</v>
      </c>
    </row>
    <row r="14" customFormat="false" ht="15" hidden="false" customHeight="false" outlineLevel="0" collapsed="false">
      <c r="A14" s="5" t="s">
        <v>233</v>
      </c>
      <c r="B14" s="5" t="s">
        <v>234</v>
      </c>
      <c r="C14" s="22" t="n">
        <v>1</v>
      </c>
      <c r="D14" s="25" t="n">
        <v>1750</v>
      </c>
      <c r="E14" s="25" t="n">
        <f aca="false">C14*D14</f>
        <v>1750</v>
      </c>
    </row>
    <row r="15" customFormat="false" ht="15" hidden="false" customHeight="false" outlineLevel="0" collapsed="false">
      <c r="A15" s="5" t="s">
        <v>235</v>
      </c>
      <c r="B15" s="5" t="s">
        <v>236</v>
      </c>
      <c r="C15" s="22" t="n">
        <v>1</v>
      </c>
      <c r="D15" s="25" t="n">
        <v>2800</v>
      </c>
      <c r="E15" s="25" t="n">
        <f aca="false">C15*D15</f>
        <v>2800</v>
      </c>
    </row>
    <row r="16" customFormat="false" ht="15" hidden="false" customHeight="false" outlineLevel="0" collapsed="false">
      <c r="A16" s="5" t="s">
        <v>237</v>
      </c>
      <c r="B16" s="5" t="s">
        <v>238</v>
      </c>
      <c r="C16" s="22" t="n">
        <v>4</v>
      </c>
      <c r="D16" s="25" t="n">
        <v>750</v>
      </c>
      <c r="E16" s="25" t="n">
        <f aca="false">C16*D16</f>
        <v>3000</v>
      </c>
    </row>
    <row r="17" customFormat="false" ht="15" hidden="false" customHeight="false" outlineLevel="0" collapsed="false">
      <c r="A17" s="5" t="s">
        <v>239</v>
      </c>
      <c r="B17" s="5" t="s">
        <v>240</v>
      </c>
      <c r="C17" s="22" t="n">
        <v>1</v>
      </c>
      <c r="D17" s="25" t="n">
        <v>900</v>
      </c>
      <c r="E17" s="25" t="n">
        <f aca="false">C17*D17</f>
        <v>900</v>
      </c>
    </row>
    <row r="18" customFormat="false" ht="15" hidden="false" customHeight="false" outlineLevel="0" collapsed="false">
      <c r="A18" s="5" t="s">
        <v>241</v>
      </c>
      <c r="B18" s="5" t="s">
        <v>242</v>
      </c>
      <c r="C18" s="22" t="n">
        <v>1</v>
      </c>
      <c r="D18" s="25" t="n">
        <v>3000</v>
      </c>
      <c r="E18" s="25" t="n">
        <f aca="false">C18*D18</f>
        <v>3000</v>
      </c>
    </row>
    <row r="19" customFormat="false" ht="15" hidden="false" customHeight="false" outlineLevel="0" collapsed="false">
      <c r="A19" s="5" t="s">
        <v>243</v>
      </c>
      <c r="B19" s="5" t="s">
        <v>244</v>
      </c>
      <c r="C19" s="22" t="n">
        <v>1</v>
      </c>
      <c r="D19" s="25" t="n">
        <v>1500</v>
      </c>
      <c r="E19" s="25" t="n">
        <f aca="false">C19*D19</f>
        <v>1500</v>
      </c>
    </row>
    <row r="20" customFormat="false" ht="15" hidden="false" customHeight="false" outlineLevel="0" collapsed="false">
      <c r="A20" s="5" t="s">
        <v>245</v>
      </c>
      <c r="B20" s="5" t="s">
        <v>246</v>
      </c>
      <c r="C20" s="22" t="n">
        <v>1</v>
      </c>
      <c r="D20" s="25" t="n">
        <v>1200</v>
      </c>
      <c r="E20" s="25" t="n">
        <f aca="false">C20*D20</f>
        <v>1200</v>
      </c>
    </row>
    <row r="21" customFormat="false" ht="15" hidden="false" customHeight="false" outlineLevel="0" collapsed="false">
      <c r="A21" s="5" t="s">
        <v>247</v>
      </c>
      <c r="B21" s="5" t="s">
        <v>248</v>
      </c>
      <c r="C21" s="22" t="n">
        <v>1</v>
      </c>
      <c r="D21" s="25" t="n">
        <v>350</v>
      </c>
      <c r="E21" s="25" t="n">
        <f aca="false">C21*D21</f>
        <v>350</v>
      </c>
    </row>
    <row r="22" customFormat="false" ht="15" hidden="false" customHeight="false" outlineLevel="0" collapsed="false">
      <c r="A22" s="26" t="s">
        <v>249</v>
      </c>
      <c r="E22" s="27" t="n">
        <f aca="false">SUM(E13:E21)</f>
        <v>17500</v>
      </c>
    </row>
    <row r="24" customFormat="false" ht="19.5" hidden="false" customHeight="true" outlineLevel="0" collapsed="false">
      <c r="A24" s="3" t="s">
        <v>250</v>
      </c>
      <c r="B24" s="3"/>
      <c r="C24" s="3"/>
      <c r="D24" s="3"/>
      <c r="E24" s="3"/>
    </row>
    <row r="25" customFormat="false" ht="15" hidden="false" customHeight="false" outlineLevel="0" collapsed="false">
      <c r="A25" s="4" t="s">
        <v>251</v>
      </c>
      <c r="B25" s="4" t="s">
        <v>252</v>
      </c>
      <c r="C25" s="10" t="s">
        <v>218</v>
      </c>
      <c r="D25" s="10" t="s">
        <v>219</v>
      </c>
      <c r="E25" s="10" t="s">
        <v>220</v>
      </c>
    </row>
    <row r="26" customFormat="false" ht="23.85" hidden="false" customHeight="false" outlineLevel="0" collapsed="false">
      <c r="A26" s="5" t="s">
        <v>253</v>
      </c>
      <c r="B26" s="5" t="s">
        <v>254</v>
      </c>
      <c r="C26" s="22" t="n">
        <v>1</v>
      </c>
      <c r="D26" s="25" t="n">
        <v>98548</v>
      </c>
      <c r="E26" s="25" t="n">
        <f aca="false">C26*D26</f>
        <v>98548</v>
      </c>
    </row>
    <row r="27" customFormat="false" ht="15" hidden="false" customHeight="false" outlineLevel="0" collapsed="false">
      <c r="A27" s="5" t="s">
        <v>255</v>
      </c>
      <c r="B27" s="5" t="s">
        <v>256</v>
      </c>
      <c r="C27" s="22" t="n">
        <v>2</v>
      </c>
      <c r="D27" s="25" t="n">
        <v>54995</v>
      </c>
      <c r="E27" s="25" t="n">
        <f aca="false">C27*D27</f>
        <v>109990</v>
      </c>
    </row>
    <row r="28" customFormat="false" ht="15" hidden="false" customHeight="false" outlineLevel="0" collapsed="false">
      <c r="A28" s="5" t="s">
        <v>257</v>
      </c>
      <c r="B28" s="5" t="s">
        <v>258</v>
      </c>
      <c r="C28" s="22" t="n">
        <v>2</v>
      </c>
      <c r="D28" s="25" t="n">
        <v>35000</v>
      </c>
      <c r="E28" s="25" t="n">
        <f aca="false">C28*D28</f>
        <v>70000</v>
      </c>
    </row>
    <row r="29" customFormat="false" ht="15" hidden="false" customHeight="false" outlineLevel="0" collapsed="false">
      <c r="A29" s="5" t="s">
        <v>259</v>
      </c>
      <c r="B29" s="5" t="s">
        <v>260</v>
      </c>
      <c r="C29" s="22" t="n">
        <v>6</v>
      </c>
      <c r="D29" s="25" t="n">
        <v>1200</v>
      </c>
      <c r="E29" s="25" t="n">
        <f aca="false">C29*D29</f>
        <v>7200</v>
      </c>
    </row>
    <row r="30" customFormat="false" ht="15" hidden="false" customHeight="false" outlineLevel="0" collapsed="false">
      <c r="A30" s="5" t="s">
        <v>261</v>
      </c>
      <c r="B30" s="5" t="s">
        <v>262</v>
      </c>
      <c r="C30" s="22" t="n">
        <v>1</v>
      </c>
      <c r="D30" s="25" t="n">
        <v>1500</v>
      </c>
      <c r="E30" s="25" t="n">
        <f aca="false">C30*D30</f>
        <v>1500</v>
      </c>
    </row>
    <row r="31" customFormat="false" ht="15" hidden="false" customHeight="false" outlineLevel="0" collapsed="false">
      <c r="A31" s="5" t="s">
        <v>263</v>
      </c>
      <c r="B31" s="5" t="s">
        <v>264</v>
      </c>
      <c r="C31" s="22" t="n">
        <v>7</v>
      </c>
      <c r="D31" s="25" t="n">
        <v>1000</v>
      </c>
      <c r="E31" s="25" t="n">
        <f aca="false">C31*D31</f>
        <v>7000</v>
      </c>
    </row>
    <row r="32" customFormat="false" ht="15" hidden="false" customHeight="false" outlineLevel="0" collapsed="false">
      <c r="A32" s="5" t="s">
        <v>265</v>
      </c>
      <c r="B32" s="5" t="s">
        <v>266</v>
      </c>
      <c r="C32" s="22" t="n">
        <v>1</v>
      </c>
      <c r="D32" s="25" t="n">
        <v>42350</v>
      </c>
      <c r="E32" s="25" t="n">
        <f aca="false">C32*D32</f>
        <v>42350</v>
      </c>
    </row>
    <row r="34" customFormat="false" ht="19.5" hidden="false" customHeight="true" outlineLevel="0" collapsed="false">
      <c r="A34" s="3" t="s">
        <v>267</v>
      </c>
      <c r="B34" s="3"/>
      <c r="C34" s="3"/>
      <c r="D34" s="3"/>
      <c r="E34" s="3"/>
    </row>
    <row r="35" customFormat="false" ht="15" hidden="false" customHeight="false" outlineLevel="0" collapsed="false">
      <c r="A35" s="4" t="s">
        <v>268</v>
      </c>
      <c r="B35" s="4" t="s">
        <v>269</v>
      </c>
      <c r="C35" s="4"/>
      <c r="D35" s="4"/>
      <c r="E35" s="10" t="s">
        <v>184</v>
      </c>
    </row>
    <row r="36" customFormat="false" ht="23.85" hidden="false" customHeight="false" outlineLevel="0" collapsed="false">
      <c r="A36" s="5" t="s">
        <v>270</v>
      </c>
      <c r="B36" s="5" t="s">
        <v>271</v>
      </c>
      <c r="C36" s="5"/>
      <c r="D36" s="5"/>
      <c r="E36" s="11" t="n">
        <v>126504</v>
      </c>
    </row>
    <row r="37" customFormat="false" ht="23.85" hidden="false" customHeight="false" outlineLevel="0" collapsed="false">
      <c r="A37" s="5" t="s">
        <v>272</v>
      </c>
      <c r="B37" s="5" t="s">
        <v>273</v>
      </c>
      <c r="C37" s="5"/>
      <c r="D37" s="5"/>
      <c r="E37" s="11" t="n">
        <v>68492.88</v>
      </c>
    </row>
    <row r="38" customFormat="false" ht="15" hidden="false" customHeight="false" outlineLevel="0" collapsed="false">
      <c r="A38" s="5" t="s">
        <v>274</v>
      </c>
      <c r="B38" s="5" t="s">
        <v>275</v>
      </c>
      <c r="C38" s="5"/>
      <c r="D38" s="5"/>
      <c r="E38" s="11" t="n">
        <v>15052.8</v>
      </c>
    </row>
    <row r="39" customFormat="false" ht="15" hidden="false" customHeight="false" outlineLevel="0" collapsed="false">
      <c r="A39" s="5" t="s">
        <v>276</v>
      </c>
      <c r="B39" s="5" t="s">
        <v>277</v>
      </c>
      <c r="C39" s="5"/>
      <c r="D39" s="5"/>
      <c r="E39" s="11" t="n">
        <v>24000</v>
      </c>
    </row>
    <row r="40" customFormat="false" ht="15" hidden="false" customHeight="false" outlineLevel="0" collapsed="false">
      <c r="A40" s="5" t="s">
        <v>278</v>
      </c>
      <c r="B40" s="5" t="s">
        <v>279</v>
      </c>
      <c r="C40" s="5"/>
      <c r="D40" s="5"/>
      <c r="E40" s="11" t="n">
        <v>9529</v>
      </c>
    </row>
    <row r="41" customFormat="false" ht="23.85" hidden="false" customHeight="false" outlineLevel="0" collapsed="false">
      <c r="A41" s="5" t="s">
        <v>280</v>
      </c>
      <c r="B41" s="5" t="s">
        <v>281</v>
      </c>
      <c r="C41" s="5"/>
      <c r="D41" s="5"/>
      <c r="E41" s="11" t="n">
        <v>60000</v>
      </c>
    </row>
    <row r="42" customFormat="false" ht="15" hidden="false" customHeight="false" outlineLevel="0" collapsed="false">
      <c r="A42" s="5" t="s">
        <v>282</v>
      </c>
      <c r="B42" s="5" t="s">
        <v>283</v>
      </c>
      <c r="C42" s="5"/>
      <c r="D42" s="5"/>
      <c r="E42" s="11" t="n">
        <v>40000</v>
      </c>
    </row>
    <row r="43" customFormat="false" ht="15" hidden="false" customHeight="false" outlineLevel="0" collapsed="false">
      <c r="A43" s="5" t="s">
        <v>284</v>
      </c>
      <c r="B43" s="5" t="s">
        <v>285</v>
      </c>
      <c r="C43" s="5"/>
      <c r="D43" s="5"/>
      <c r="E43" s="11" t="n">
        <v>30000</v>
      </c>
    </row>
  </sheetData>
  <mergeCells count="5">
    <mergeCell ref="A2:E2"/>
    <mergeCell ref="A4:E4"/>
    <mergeCell ref="A11:E11"/>
    <mergeCell ref="A24:E24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286</v>
      </c>
    </row>
    <row r="2" customFormat="false" ht="18" hidden="false" customHeight="true" outlineLevel="0" collapsed="false">
      <c r="A2" s="2" t="s">
        <v>287</v>
      </c>
      <c r="B2" s="2"/>
      <c r="C2" s="2"/>
      <c r="D2" s="2"/>
    </row>
    <row r="4" customFormat="false" ht="19.5" hidden="false" customHeight="true" outlineLevel="0" collapsed="false">
      <c r="A4" s="3" t="s">
        <v>288</v>
      </c>
      <c r="B4" s="3"/>
      <c r="C4" s="3"/>
      <c r="D4" s="3"/>
    </row>
    <row r="5" customFormat="false" ht="51.75" hidden="false" customHeight="true" outlineLevel="0" collapsed="false">
      <c r="A5" s="28" t="s">
        <v>289</v>
      </c>
      <c r="B5" s="28"/>
      <c r="C5" s="28"/>
      <c r="D5" s="28"/>
    </row>
    <row r="7" customFormat="false" ht="19.5" hidden="false" customHeight="true" outlineLevel="0" collapsed="false">
      <c r="A7" s="3" t="s">
        <v>290</v>
      </c>
      <c r="B7" s="3"/>
      <c r="C7" s="3"/>
      <c r="D7" s="3"/>
    </row>
    <row r="8" customFormat="false" ht="23.85" hidden="false" customHeight="false" outlineLevel="0" collapsed="false">
      <c r="A8" s="4" t="s">
        <v>291</v>
      </c>
      <c r="B8" s="10" t="s">
        <v>292</v>
      </c>
      <c r="C8" s="10" t="s">
        <v>293</v>
      </c>
      <c r="D8" s="4" t="s">
        <v>294</v>
      </c>
    </row>
    <row r="9" customFormat="false" ht="15" hidden="false" customHeight="false" outlineLevel="0" collapsed="false">
      <c r="A9" s="5" t="s">
        <v>295</v>
      </c>
      <c r="B9" s="25" t="n">
        <v>0</v>
      </c>
      <c r="C9" s="25" t="n">
        <v>0</v>
      </c>
      <c r="D9" s="5" t="s">
        <v>296</v>
      </c>
    </row>
    <row r="10" customFormat="false" ht="15" hidden="false" customHeight="false" outlineLevel="0" collapsed="false">
      <c r="A10" s="5" t="s">
        <v>297</v>
      </c>
      <c r="B10" s="25" t="n">
        <v>3000000</v>
      </c>
      <c r="C10" s="25"/>
      <c r="D10" s="5" t="s">
        <v>298</v>
      </c>
    </row>
    <row r="11" customFormat="false" ht="15" hidden="false" customHeight="false" outlineLevel="0" collapsed="false">
      <c r="A11" s="5" t="s">
        <v>299</v>
      </c>
      <c r="B11" s="25"/>
      <c r="C11" s="25" t="n">
        <v>75000</v>
      </c>
      <c r="D11" s="5" t="s">
        <v>300</v>
      </c>
    </row>
    <row r="12" customFormat="false" ht="15" hidden="false" customHeight="false" outlineLevel="0" collapsed="false">
      <c r="A12" s="5" t="s">
        <v>301</v>
      </c>
      <c r="B12" s="25" t="n">
        <v>5000000</v>
      </c>
      <c r="C12" s="25"/>
      <c r="D12" s="5" t="s">
        <v>302</v>
      </c>
    </row>
    <row r="13" customFormat="false" ht="15" hidden="false" customHeight="false" outlineLevel="0" collapsed="false">
      <c r="A13" s="5" t="s">
        <v>303</v>
      </c>
      <c r="B13" s="25"/>
      <c r="C13" s="25" t="n">
        <v>535000</v>
      </c>
      <c r="D13" s="5" t="s">
        <v>304</v>
      </c>
    </row>
    <row r="14" customFormat="false" ht="15" hidden="false" customHeight="false" outlineLevel="0" collapsed="false">
      <c r="A14" s="5" t="s">
        <v>305</v>
      </c>
      <c r="B14" s="25"/>
      <c r="C14" s="25" t="n">
        <v>1231875</v>
      </c>
      <c r="D14" s="5" t="s">
        <v>306</v>
      </c>
    </row>
    <row r="15" customFormat="false" ht="15" hidden="false" customHeight="false" outlineLevel="0" collapsed="false">
      <c r="A15" s="5" t="s">
        <v>307</v>
      </c>
      <c r="B15" s="25"/>
      <c r="C15" s="25" t="n">
        <v>2358087.5</v>
      </c>
      <c r="D15" s="5" t="s">
        <v>308</v>
      </c>
    </row>
    <row r="17" customFormat="false" ht="19.5" hidden="false" customHeight="true" outlineLevel="0" collapsed="false">
      <c r="A17" s="3" t="s">
        <v>309</v>
      </c>
      <c r="B17" s="3"/>
      <c r="C17" s="3"/>
      <c r="D17" s="3"/>
    </row>
    <row r="18" customFormat="false" ht="15" hidden="false" customHeight="false" outlineLevel="0" collapsed="false">
      <c r="A18" s="4"/>
      <c r="B18" s="10" t="s">
        <v>310</v>
      </c>
      <c r="C18" s="10" t="s">
        <v>311</v>
      </c>
      <c r="D18" s="4" t="s">
        <v>312</v>
      </c>
    </row>
    <row r="19" customFormat="false" ht="15" hidden="false" customHeight="false" outlineLevel="0" collapsed="false">
      <c r="A19" s="5" t="s">
        <v>157</v>
      </c>
      <c r="B19" s="25" t="n">
        <v>3000000</v>
      </c>
      <c r="C19" s="25" t="n">
        <v>5000000</v>
      </c>
      <c r="D19" s="5" t="s">
        <v>313</v>
      </c>
    </row>
    <row r="20" customFormat="false" ht="15" hidden="false" customHeight="false" outlineLevel="0" collapsed="false">
      <c r="A20" s="5" t="s">
        <v>8</v>
      </c>
      <c r="B20" s="25" t="s">
        <v>297</v>
      </c>
      <c r="C20" s="25" t="s">
        <v>301</v>
      </c>
      <c r="D20" s="5" t="s">
        <v>314</v>
      </c>
    </row>
    <row r="21" customFormat="false" ht="15" hidden="false" customHeight="false" outlineLevel="0" collapsed="false">
      <c r="A21" s="5" t="s">
        <v>315</v>
      </c>
      <c r="B21" s="25" t="n">
        <v>50000000</v>
      </c>
      <c r="C21" s="25" t="n">
        <v>75000000</v>
      </c>
      <c r="D21" s="5" t="s">
        <v>316</v>
      </c>
    </row>
    <row r="22" customFormat="false" ht="15" hidden="false" customHeight="false" outlineLevel="0" collapsed="false">
      <c r="A22" s="5" t="s">
        <v>317</v>
      </c>
      <c r="B22" s="12" t="n">
        <f aca="false">B19/B21</f>
        <v>0.06</v>
      </c>
      <c r="C22" s="12" t="n">
        <f aca="false">C19/C21</f>
        <v>0.0666666666666667</v>
      </c>
      <c r="D22" s="5" t="s">
        <v>318</v>
      </c>
    </row>
    <row r="24" customFormat="false" ht="19.5" hidden="false" customHeight="true" outlineLevel="0" collapsed="false">
      <c r="A24" s="3" t="s">
        <v>319</v>
      </c>
      <c r="B24" s="3"/>
      <c r="C24" s="3"/>
      <c r="D24" s="3"/>
    </row>
    <row r="25" customFormat="false" ht="15" hidden="false" customHeight="false" outlineLevel="0" collapsed="false">
      <c r="A25" s="4" t="s">
        <v>320</v>
      </c>
      <c r="B25" s="4" t="s">
        <v>321</v>
      </c>
      <c r="C25" s="4" t="s">
        <v>322</v>
      </c>
      <c r="D25" s="4" t="s">
        <v>323</v>
      </c>
    </row>
    <row r="26" customFormat="false" ht="15" hidden="false" customHeight="false" outlineLevel="0" collapsed="false">
      <c r="A26" s="5" t="s">
        <v>324</v>
      </c>
      <c r="B26" s="29" t="s">
        <v>325</v>
      </c>
      <c r="C26" s="5"/>
      <c r="D26" s="5" t="s">
        <v>326</v>
      </c>
    </row>
    <row r="27" customFormat="false" ht="15" hidden="false" customHeight="false" outlineLevel="0" collapsed="false">
      <c r="A27" s="5" t="s">
        <v>324</v>
      </c>
      <c r="B27" s="29" t="s">
        <v>325</v>
      </c>
      <c r="C27" s="5"/>
      <c r="D27" s="5" t="s">
        <v>327</v>
      </c>
    </row>
    <row r="28" customFormat="false" ht="15" hidden="false" customHeight="false" outlineLevel="0" collapsed="false">
      <c r="A28" s="5" t="s">
        <v>324</v>
      </c>
      <c r="B28" s="29" t="s">
        <v>325</v>
      </c>
      <c r="C28" s="5"/>
      <c r="D28" s="5" t="s">
        <v>328</v>
      </c>
    </row>
    <row r="29" customFormat="false" ht="15" hidden="false" customHeight="false" outlineLevel="0" collapsed="false">
      <c r="A29" s="5" t="s">
        <v>324</v>
      </c>
      <c r="B29" s="29" t="s">
        <v>325</v>
      </c>
      <c r="C29" s="5"/>
      <c r="D29" s="5" t="s">
        <v>329</v>
      </c>
    </row>
    <row r="30" customFormat="false" ht="15" hidden="false" customHeight="false" outlineLevel="0" collapsed="false">
      <c r="A30" s="5" t="s">
        <v>330</v>
      </c>
      <c r="B30" s="29" t="s">
        <v>325</v>
      </c>
      <c r="C30" s="5"/>
      <c r="D30" s="5" t="s">
        <v>331</v>
      </c>
    </row>
    <row r="31" customFormat="false" ht="15" hidden="false" customHeight="false" outlineLevel="0" collapsed="false">
      <c r="A31" s="5" t="s">
        <v>330</v>
      </c>
      <c r="B31" s="29" t="s">
        <v>325</v>
      </c>
      <c r="C31" s="5"/>
      <c r="D31" s="5" t="s">
        <v>332</v>
      </c>
    </row>
    <row r="32" customFormat="false" ht="15" hidden="false" customHeight="false" outlineLevel="0" collapsed="false">
      <c r="A32" s="5" t="s">
        <v>330</v>
      </c>
      <c r="B32" s="29" t="s">
        <v>325</v>
      </c>
      <c r="C32" s="5"/>
      <c r="D32" s="5" t="s">
        <v>333</v>
      </c>
    </row>
    <row r="33" customFormat="false" ht="15" hidden="false" customHeight="false" outlineLevel="0" collapsed="false">
      <c r="A33" s="5" t="s">
        <v>330</v>
      </c>
      <c r="B33" s="29" t="s">
        <v>325</v>
      </c>
      <c r="C33" s="5"/>
      <c r="D33" s="5" t="s">
        <v>334</v>
      </c>
    </row>
    <row r="34" customFormat="false" ht="15" hidden="false" customHeight="false" outlineLevel="0" collapsed="false">
      <c r="A34" s="5" t="s">
        <v>330</v>
      </c>
      <c r="B34" s="29" t="s">
        <v>325</v>
      </c>
      <c r="C34" s="5"/>
      <c r="D34" s="5" t="s">
        <v>335</v>
      </c>
    </row>
    <row r="35" customFormat="false" ht="15" hidden="false" customHeight="false" outlineLevel="0" collapsed="false">
      <c r="A35" s="5" t="s">
        <v>330</v>
      </c>
      <c r="B35" s="29" t="s">
        <v>325</v>
      </c>
      <c r="C35" s="5"/>
      <c r="D35" s="5" t="s">
        <v>336</v>
      </c>
    </row>
    <row r="36" customFormat="false" ht="15" hidden="false" customHeight="false" outlineLevel="0" collapsed="false">
      <c r="A36" s="5" t="s">
        <v>337</v>
      </c>
      <c r="B36" s="29" t="s">
        <v>325</v>
      </c>
      <c r="C36" s="5"/>
      <c r="D36" s="5" t="s">
        <v>338</v>
      </c>
    </row>
    <row r="37" customFormat="false" ht="15" hidden="false" customHeight="false" outlineLevel="0" collapsed="false">
      <c r="A37" s="5" t="s">
        <v>337</v>
      </c>
      <c r="B37" s="29" t="s">
        <v>325</v>
      </c>
      <c r="C37" s="5"/>
      <c r="D37" s="5" t="s">
        <v>339</v>
      </c>
    </row>
    <row r="38" customFormat="false" ht="15" hidden="false" customHeight="false" outlineLevel="0" collapsed="false">
      <c r="A38" s="5" t="s">
        <v>337</v>
      </c>
      <c r="B38" s="29" t="s">
        <v>325</v>
      </c>
      <c r="C38" s="5"/>
      <c r="D38" s="5" t="s">
        <v>340</v>
      </c>
    </row>
    <row r="39" customFormat="false" ht="15" hidden="false" customHeight="false" outlineLevel="0" collapsed="false">
      <c r="A39" s="5" t="s">
        <v>337</v>
      </c>
      <c r="B39" s="29" t="s">
        <v>325</v>
      </c>
      <c r="C39" s="5"/>
      <c r="D39" s="5" t="s">
        <v>341</v>
      </c>
    </row>
    <row r="40" customFormat="false" ht="15" hidden="false" customHeight="false" outlineLevel="0" collapsed="false">
      <c r="A40" s="5" t="s">
        <v>337</v>
      </c>
      <c r="B40" s="29" t="s">
        <v>325</v>
      </c>
      <c r="C40" s="5"/>
      <c r="D40" s="5" t="s">
        <v>342</v>
      </c>
    </row>
    <row r="42" customFormat="false" ht="18" hidden="false" customHeight="true" outlineLevel="0" collapsed="false">
      <c r="A42" s="2" t="s">
        <v>343</v>
      </c>
      <c r="B42" s="2"/>
      <c r="C42" s="2"/>
      <c r="D42" s="2"/>
    </row>
    <row r="44" customFormat="false" ht="19.5" hidden="false" customHeight="true" outlineLevel="0" collapsed="false">
      <c r="A44" s="3" t="s">
        <v>344</v>
      </c>
      <c r="B44" s="3"/>
      <c r="C44" s="3"/>
      <c r="D44" s="3"/>
    </row>
    <row r="45" customFormat="false" ht="23.85" hidden="false" customHeight="false" outlineLevel="0" collapsed="false">
      <c r="A45" s="30" t="s">
        <v>345</v>
      </c>
      <c r="B45" s="31" t="n">
        <v>100</v>
      </c>
      <c r="D45" s="9" t="s">
        <v>346</v>
      </c>
    </row>
    <row r="46" customFormat="false" ht="15" hidden="false" customHeight="false" outlineLevel="0" collapsed="false">
      <c r="A46" s="30" t="s">
        <v>347</v>
      </c>
      <c r="B46" s="31" t="n">
        <v>3</v>
      </c>
      <c r="D46" s="9" t="s">
        <v>348</v>
      </c>
    </row>
    <row r="47" customFormat="false" ht="23.85" hidden="false" customHeight="false" outlineLevel="0" collapsed="false">
      <c r="A47" s="30" t="s">
        <v>349</v>
      </c>
      <c r="B47" s="31" t="s">
        <v>350</v>
      </c>
      <c r="D47" s="9" t="s">
        <v>351</v>
      </c>
    </row>
    <row r="48" customFormat="false" ht="15" hidden="false" customHeight="false" outlineLevel="0" collapsed="false">
      <c r="A48" s="30" t="s">
        <v>352</v>
      </c>
      <c r="B48" s="32" t="n">
        <f aca="false">B45*750*IF(B47="Yes",0.5,1)</f>
        <v>75000</v>
      </c>
    </row>
    <row r="49" customFormat="false" ht="15" hidden="false" customHeight="false" outlineLevel="0" collapsed="false">
      <c r="A49" s="30" t="s">
        <v>353</v>
      </c>
      <c r="B49" s="32" t="n">
        <f aca="false">B46*12500*IF(B47="Yes",0.5,1)</f>
        <v>37500</v>
      </c>
    </row>
    <row r="50" customFormat="false" ht="15" hidden="false" customHeight="false" outlineLevel="0" collapsed="false">
      <c r="A50" s="26" t="s">
        <v>354</v>
      </c>
      <c r="B50" s="33" t="n">
        <f aca="false">B48+B49</f>
        <v>112500</v>
      </c>
    </row>
  </sheetData>
  <mergeCells count="8">
    <mergeCell ref="A2:D2"/>
    <mergeCell ref="A4:D4"/>
    <mergeCell ref="A5:D5"/>
    <mergeCell ref="A7:D7"/>
    <mergeCell ref="A17:D17"/>
    <mergeCell ref="A24:D24"/>
    <mergeCell ref="A42:D42"/>
    <mergeCell ref="A44:D44"/>
  </mergeCells>
  <dataValidations count="1">
    <dataValidation allowBlank="true" errorStyle="stop" operator="between" showDropDown="false" showErrorMessage="false" showInputMessage="false" sqref="B26:B40" type="list">
      <formula1>"Not yet,In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6"/>
    <col collapsed="false" customWidth="true" hidden="false" outlineLevel="0" max="7" min="7" style="0" width="56"/>
  </cols>
  <sheetData>
    <row r="1" customFormat="false" ht="25.5" hidden="false" customHeight="true" outlineLevel="0" collapsed="false">
      <c r="A1" s="1" t="s">
        <v>355</v>
      </c>
    </row>
    <row r="2" customFormat="false" ht="18" hidden="false" customHeight="true" outlineLevel="0" collapsed="false">
      <c r="A2" s="2" t="s">
        <v>356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357</v>
      </c>
      <c r="B4" s="3"/>
      <c r="C4" s="3"/>
      <c r="D4" s="3"/>
      <c r="E4" s="3"/>
      <c r="F4" s="3"/>
      <c r="G4" s="3"/>
    </row>
    <row r="5" customFormat="false" ht="16.5" hidden="false" customHeight="true" outlineLevel="0" collapsed="false">
      <c r="A5" s="4" t="s">
        <v>358</v>
      </c>
      <c r="B5" s="10" t="s">
        <v>359</v>
      </c>
      <c r="C5" s="34" t="s">
        <v>360</v>
      </c>
      <c r="D5" s="34"/>
      <c r="E5" s="34"/>
      <c r="F5" s="34"/>
      <c r="G5" s="34"/>
    </row>
    <row r="6" customFormat="false" ht="30" hidden="false" customHeight="true" outlineLevel="0" collapsed="false">
      <c r="A6" s="5" t="s">
        <v>361</v>
      </c>
      <c r="B6" s="25" t="n">
        <v>350000</v>
      </c>
      <c r="C6" s="5" t="s">
        <v>362</v>
      </c>
      <c r="D6" s="5"/>
      <c r="E6" s="5"/>
      <c r="F6" s="5"/>
      <c r="G6" s="5"/>
    </row>
    <row r="7" customFormat="false" ht="30" hidden="false" customHeight="true" outlineLevel="0" collapsed="false">
      <c r="A7" s="5" t="s">
        <v>363</v>
      </c>
      <c r="B7" s="25" t="n">
        <v>19900</v>
      </c>
      <c r="C7" s="5" t="s">
        <v>364</v>
      </c>
      <c r="D7" s="5"/>
      <c r="E7" s="5"/>
      <c r="F7" s="5"/>
      <c r="G7" s="5"/>
    </row>
    <row r="8" customFormat="false" ht="16.5" hidden="false" customHeight="true" outlineLevel="0" collapsed="false">
      <c r="A8" s="5" t="s">
        <v>365</v>
      </c>
      <c r="B8" s="25" t="n">
        <v>1200</v>
      </c>
      <c r="C8" s="5" t="s">
        <v>366</v>
      </c>
      <c r="D8" s="5"/>
      <c r="E8" s="5"/>
      <c r="F8" s="5"/>
      <c r="G8" s="5"/>
    </row>
    <row r="9" customFormat="false" ht="30" hidden="false" customHeight="true" outlineLevel="0" collapsed="false">
      <c r="A9" s="5" t="s">
        <v>367</v>
      </c>
      <c r="B9" s="25" t="n">
        <v>60000</v>
      </c>
      <c r="C9" s="5" t="s">
        <v>368</v>
      </c>
      <c r="D9" s="5"/>
      <c r="E9" s="5"/>
      <c r="F9" s="5"/>
      <c r="G9" s="5"/>
    </row>
    <row r="11" customFormat="false" ht="19.5" hidden="false" customHeight="true" outlineLevel="0" collapsed="false">
      <c r="A11" s="3" t="s">
        <v>369</v>
      </c>
      <c r="B11" s="3"/>
      <c r="C11" s="3"/>
      <c r="D11" s="3"/>
      <c r="E11" s="3"/>
      <c r="F11" s="3"/>
      <c r="G11" s="3"/>
    </row>
    <row r="12" customFormat="false" ht="16.5" hidden="false" customHeight="true" outlineLevel="0" collapsed="false">
      <c r="A12" s="4"/>
      <c r="B12" s="4" t="s">
        <v>370</v>
      </c>
      <c r="C12" s="4" t="s">
        <v>371</v>
      </c>
      <c r="D12" s="4" t="s">
        <v>372</v>
      </c>
      <c r="E12" s="34" t="s">
        <v>312</v>
      </c>
      <c r="F12" s="34"/>
      <c r="G12" s="34"/>
    </row>
    <row r="13" customFormat="false" ht="16.5" hidden="false" customHeight="true" outlineLevel="0" collapsed="false">
      <c r="A13" s="5" t="s">
        <v>373</v>
      </c>
      <c r="B13" s="35" t="n">
        <v>25</v>
      </c>
      <c r="C13" s="35" t="n">
        <v>47</v>
      </c>
      <c r="D13" s="35" t="n">
        <v>76</v>
      </c>
      <c r="E13" s="5" t="s">
        <v>374</v>
      </c>
      <c r="F13" s="5"/>
      <c r="G13" s="5"/>
    </row>
    <row r="14" customFormat="false" ht="16.5" hidden="false" customHeight="true" outlineLevel="0" collapsed="false">
      <c r="A14" s="5" t="s">
        <v>375</v>
      </c>
      <c r="B14" s="35" t="n">
        <v>2296</v>
      </c>
      <c r="C14" s="35" t="n">
        <v>4275</v>
      </c>
      <c r="D14" s="35" t="n">
        <v>6902</v>
      </c>
      <c r="E14" s="5" t="s">
        <v>376</v>
      </c>
      <c r="F14" s="5"/>
      <c r="G14" s="5"/>
    </row>
    <row r="15" customFormat="false" ht="16.5" hidden="false" customHeight="true" outlineLevel="0" collapsed="false">
      <c r="A15" s="5" t="s">
        <v>377</v>
      </c>
      <c r="B15" s="25" t="n">
        <v>37738880</v>
      </c>
      <c r="C15" s="25" t="n">
        <v>71392670</v>
      </c>
      <c r="D15" s="25" t="n">
        <v>114751250</v>
      </c>
      <c r="E15" s="5" t="s">
        <v>378</v>
      </c>
      <c r="F15" s="5"/>
      <c r="G15" s="5"/>
    </row>
    <row r="16" customFormat="false" ht="16.5" hidden="false" customHeight="true" outlineLevel="0" collapsed="false">
      <c r="A16" s="5" t="s">
        <v>379</v>
      </c>
      <c r="B16" s="25" t="n">
        <v>5914527</v>
      </c>
      <c r="C16" s="25" t="n">
        <v>22450973</v>
      </c>
      <c r="D16" s="25" t="n">
        <v>43872915</v>
      </c>
      <c r="E16" s="5" t="s">
        <v>380</v>
      </c>
      <c r="F16" s="5"/>
      <c r="G16" s="5"/>
    </row>
    <row r="17" customFormat="false" ht="16.5" hidden="false" customHeight="true" outlineLevel="0" collapsed="false">
      <c r="A17" s="5" t="s">
        <v>381</v>
      </c>
      <c r="B17" s="12" t="n">
        <v>0.656</v>
      </c>
      <c r="C17" s="12" t="n">
        <v>0.657</v>
      </c>
      <c r="D17" s="12" t="n">
        <v>0.657</v>
      </c>
      <c r="E17" s="5" t="s">
        <v>382</v>
      </c>
      <c r="F17" s="5"/>
      <c r="G17" s="5"/>
    </row>
    <row r="18" customFormat="false" ht="16.5" hidden="false" customHeight="true" outlineLevel="0" collapsed="false">
      <c r="A18" s="5" t="s">
        <v>383</v>
      </c>
      <c r="B18" s="36" t="n">
        <v>1.21</v>
      </c>
      <c r="C18" s="36" t="n">
        <v>3.15</v>
      </c>
      <c r="D18" s="36" t="n">
        <v>6.48</v>
      </c>
      <c r="E18" s="5" t="s">
        <v>384</v>
      </c>
      <c r="F18" s="5"/>
      <c r="G18" s="5"/>
    </row>
    <row r="19" customFormat="false" ht="16.5" hidden="false" customHeight="true" outlineLevel="0" collapsed="false">
      <c r="A19" s="5" t="s">
        <v>385</v>
      </c>
      <c r="B19" s="12" t="n">
        <v>0.06</v>
      </c>
      <c r="C19" s="12" t="n">
        <v>0.418</v>
      </c>
      <c r="D19" s="12" t="n">
        <v>0.757</v>
      </c>
      <c r="E19" s="5" t="s">
        <v>386</v>
      </c>
      <c r="F19" s="5"/>
      <c r="G19" s="5"/>
    </row>
    <row r="20" customFormat="false" ht="16.5" hidden="false" customHeight="true" outlineLevel="0" collapsed="false">
      <c r="A20" s="5" t="s">
        <v>387</v>
      </c>
      <c r="B20" s="36" t="n">
        <v>0.28</v>
      </c>
      <c r="C20" s="36" t="n">
        <v>0.53</v>
      </c>
      <c r="D20" s="36" t="n">
        <v>0.85</v>
      </c>
      <c r="E20" s="5" t="s">
        <v>388</v>
      </c>
      <c r="F20" s="5"/>
      <c r="G20" s="5"/>
    </row>
    <row r="21" customFormat="false" ht="16.5" hidden="false" customHeight="true" outlineLevel="0" collapsed="false">
      <c r="A21" s="5" t="s">
        <v>389</v>
      </c>
      <c r="B21" s="25" t="n">
        <v>120404</v>
      </c>
      <c r="C21" s="25" t="n">
        <v>139473</v>
      </c>
      <c r="D21" s="25" t="n">
        <v>145788</v>
      </c>
      <c r="E21" s="5" t="s">
        <v>390</v>
      </c>
      <c r="F21" s="5"/>
      <c r="G21" s="5"/>
    </row>
    <row r="23" customFormat="false" ht="19.5" hidden="false" customHeight="true" outlineLevel="0" collapsed="false">
      <c r="A23" s="3" t="s">
        <v>391</v>
      </c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4"/>
      <c r="B24" s="37" t="s">
        <v>392</v>
      </c>
      <c r="C24" s="37" t="s">
        <v>299</v>
      </c>
      <c r="D24" s="37" t="s">
        <v>303</v>
      </c>
      <c r="E24" s="37" t="s">
        <v>305</v>
      </c>
      <c r="F24" s="37" t="s">
        <v>307</v>
      </c>
    </row>
    <row r="25" customFormat="false" ht="15" hidden="false" customHeight="false" outlineLevel="0" collapsed="false">
      <c r="A25" s="5" t="s">
        <v>393</v>
      </c>
      <c r="B25" s="35" t="n">
        <v>0</v>
      </c>
      <c r="C25" s="35" t="n">
        <v>3</v>
      </c>
      <c r="D25" s="35" t="n">
        <v>8</v>
      </c>
      <c r="E25" s="35" t="n">
        <v>15</v>
      </c>
      <c r="F25" s="35" t="n">
        <v>25</v>
      </c>
    </row>
    <row r="26" customFormat="false" ht="15" hidden="false" customHeight="false" outlineLevel="0" collapsed="false">
      <c r="A26" s="5" t="s">
        <v>394</v>
      </c>
      <c r="B26" s="35" t="n">
        <v>0</v>
      </c>
      <c r="C26" s="35" t="n">
        <v>150</v>
      </c>
      <c r="D26" s="35" t="n">
        <v>535</v>
      </c>
      <c r="E26" s="35" t="n">
        <v>1232</v>
      </c>
      <c r="F26" s="35" t="n">
        <v>2358</v>
      </c>
    </row>
    <row r="27" customFormat="false" ht="15" hidden="false" customHeight="false" outlineLevel="0" collapsed="false">
      <c r="A27" s="5" t="s">
        <v>377</v>
      </c>
      <c r="B27" s="25" t="n">
        <v>0</v>
      </c>
      <c r="C27" s="25" t="n">
        <v>4395000</v>
      </c>
      <c r="D27" s="25" t="n">
        <v>15855500</v>
      </c>
      <c r="E27" s="25" t="n">
        <v>36915500</v>
      </c>
      <c r="F27" s="25" t="n">
        <v>71392670</v>
      </c>
    </row>
    <row r="28" customFormat="false" ht="15" hidden="false" customHeight="false" outlineLevel="0" collapsed="false">
      <c r="A28" s="5" t="s">
        <v>395</v>
      </c>
      <c r="B28" s="25" t="n">
        <v>0</v>
      </c>
      <c r="C28" s="25" t="n">
        <v>2767500</v>
      </c>
      <c r="D28" s="25" t="n">
        <v>8979276</v>
      </c>
      <c r="E28" s="25" t="n">
        <v>18849090.42</v>
      </c>
      <c r="F28" s="25" t="n">
        <v>32941697.49</v>
      </c>
    </row>
    <row r="29" customFormat="false" ht="15" hidden="false" customHeight="false" outlineLevel="0" collapsed="false">
      <c r="A29" s="5" t="s">
        <v>396</v>
      </c>
      <c r="B29" s="25" t="n">
        <v>800000</v>
      </c>
      <c r="C29" s="25" t="n">
        <v>3500000</v>
      </c>
      <c r="D29" s="25" t="n">
        <v>6000000</v>
      </c>
      <c r="E29" s="25" t="n">
        <v>10000000</v>
      </c>
      <c r="F29" s="25" t="n">
        <v>16000000</v>
      </c>
    </row>
    <row r="30" customFormat="false" ht="15" hidden="false" customHeight="false" outlineLevel="0" collapsed="false">
      <c r="A30" s="23" t="s">
        <v>379</v>
      </c>
      <c r="B30" s="38" t="n">
        <f aca="false">B27-B28-B29</f>
        <v>-800000</v>
      </c>
      <c r="C30" s="38" t="n">
        <f aca="false">C27-C28-C29</f>
        <v>-1872500</v>
      </c>
      <c r="D30" s="38" t="n">
        <f aca="false">D27-D28-D29</f>
        <v>876224</v>
      </c>
      <c r="E30" s="38" t="n">
        <f aca="false">E27-E28-E29</f>
        <v>8066409.58</v>
      </c>
      <c r="F30" s="38" t="n">
        <f aca="false">F27-F28-F29</f>
        <v>22450972.51</v>
      </c>
    </row>
    <row r="32" customFormat="false" ht="18" hidden="false" customHeight="true" outlineLevel="0" collapsed="false">
      <c r="A32" s="2" t="s">
        <v>397</v>
      </c>
      <c r="B32" s="2"/>
      <c r="C32" s="2"/>
      <c r="D32" s="2"/>
      <c r="E32" s="2"/>
      <c r="F32" s="2"/>
      <c r="G32" s="2"/>
    </row>
  </sheetData>
  <mergeCells count="20">
    <mergeCell ref="A2:G2"/>
    <mergeCell ref="A4:G4"/>
    <mergeCell ref="C5:G5"/>
    <mergeCell ref="C6:G6"/>
    <mergeCell ref="C7:G7"/>
    <mergeCell ref="C8:G8"/>
    <mergeCell ref="C9:G9"/>
    <mergeCell ref="A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A23:G23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398</v>
      </c>
    </row>
    <row r="2" customFormat="false" ht="18" hidden="false" customHeight="true" outlineLevel="0" collapsed="false">
      <c r="A2" s="2" t="s">
        <v>399</v>
      </c>
      <c r="B2" s="2"/>
    </row>
    <row r="4" customFormat="false" ht="19.5" hidden="false" customHeight="true" outlineLevel="0" collapsed="false">
      <c r="A4" s="3" t="s">
        <v>400</v>
      </c>
      <c r="B4" s="3"/>
    </row>
    <row r="5" customFormat="false" ht="15" hidden="false" customHeight="false" outlineLevel="0" collapsed="false">
      <c r="A5" s="4" t="s">
        <v>401</v>
      </c>
      <c r="B5" s="4" t="s">
        <v>402</v>
      </c>
    </row>
    <row r="6" customFormat="false" ht="23.85" hidden="false" customHeight="false" outlineLevel="0" collapsed="false">
      <c r="A6" s="5" t="s">
        <v>403</v>
      </c>
      <c r="B6" s="5" t="s">
        <v>404</v>
      </c>
    </row>
    <row r="7" customFormat="false" ht="15" hidden="false" customHeight="false" outlineLevel="0" collapsed="false">
      <c r="A7" s="5" t="s">
        <v>405</v>
      </c>
      <c r="B7" s="5" t="s">
        <v>406</v>
      </c>
    </row>
    <row r="8" customFormat="false" ht="15" hidden="false" customHeight="false" outlineLevel="0" collapsed="false">
      <c r="A8" s="5" t="s">
        <v>407</v>
      </c>
      <c r="B8" s="5" t="s">
        <v>408</v>
      </c>
    </row>
    <row r="9" customFormat="false" ht="23.85" hidden="false" customHeight="false" outlineLevel="0" collapsed="false">
      <c r="A9" s="5" t="s">
        <v>409</v>
      </c>
      <c r="B9" s="5" t="s">
        <v>410</v>
      </c>
    </row>
    <row r="10" customFormat="false" ht="23.85" hidden="false" customHeight="false" outlineLevel="0" collapsed="false">
      <c r="A10" s="5" t="s">
        <v>411</v>
      </c>
      <c r="B10" s="5" t="s">
        <v>412</v>
      </c>
    </row>
    <row r="11" customFormat="false" ht="23.85" hidden="false" customHeight="false" outlineLevel="0" collapsed="false">
      <c r="A11" s="5" t="s">
        <v>413</v>
      </c>
      <c r="B11" s="5" t="s">
        <v>414</v>
      </c>
    </row>
    <row r="12" customFormat="false" ht="23.85" hidden="false" customHeight="false" outlineLevel="0" collapsed="false">
      <c r="A12" s="5" t="s">
        <v>415</v>
      </c>
      <c r="B12" s="5" t="s">
        <v>416</v>
      </c>
    </row>
    <row r="13" customFormat="false" ht="23.85" hidden="false" customHeight="false" outlineLevel="0" collapsed="false">
      <c r="A13" s="5" t="s">
        <v>417</v>
      </c>
      <c r="B13" s="5" t="s">
        <v>418</v>
      </c>
    </row>
    <row r="14" customFormat="false" ht="23.85" hidden="false" customHeight="false" outlineLevel="0" collapsed="false">
      <c r="A14" s="5" t="s">
        <v>419</v>
      </c>
      <c r="B14" s="5" t="s">
        <v>420</v>
      </c>
    </row>
    <row r="15" customFormat="false" ht="15" hidden="false" customHeight="false" outlineLevel="0" collapsed="false">
      <c r="A15" s="5" t="s">
        <v>421</v>
      </c>
      <c r="B15" s="5" t="s">
        <v>422</v>
      </c>
    </row>
    <row r="16" customFormat="false" ht="23.85" hidden="false" customHeight="false" outlineLevel="0" collapsed="false">
      <c r="A16" s="5" t="s">
        <v>423</v>
      </c>
      <c r="B16" s="5" t="s">
        <v>424</v>
      </c>
    </row>
    <row r="18" customFormat="false" ht="19.5" hidden="false" customHeight="true" outlineLevel="0" collapsed="false">
      <c r="A18" s="3" t="s">
        <v>425</v>
      </c>
      <c r="B18" s="3"/>
    </row>
    <row r="19" customFormat="false" ht="15" hidden="false" customHeight="false" outlineLevel="0" collapsed="false">
      <c r="A19" s="4" t="s">
        <v>426</v>
      </c>
      <c r="B19" s="4" t="s">
        <v>294</v>
      </c>
    </row>
    <row r="20" customFormat="false" ht="15" hidden="false" customHeight="false" outlineLevel="0" collapsed="false">
      <c r="A20" s="5" t="s">
        <v>427</v>
      </c>
      <c r="B20" s="5" t="s">
        <v>428</v>
      </c>
    </row>
    <row r="21" customFormat="false" ht="15" hidden="false" customHeight="false" outlineLevel="0" collapsed="false">
      <c r="A21" s="5" t="s">
        <v>429</v>
      </c>
      <c r="B21" s="5" t="s">
        <v>430</v>
      </c>
    </row>
    <row r="22" customFormat="false" ht="15" hidden="false" customHeight="false" outlineLevel="0" collapsed="false">
      <c r="A22" s="5" t="s">
        <v>431</v>
      </c>
      <c r="B22" s="5" t="s">
        <v>432</v>
      </c>
    </row>
    <row r="23" customFormat="false" ht="15" hidden="false" customHeight="false" outlineLevel="0" collapsed="false">
      <c r="A23" s="5" t="s">
        <v>433</v>
      </c>
      <c r="B23" s="5" t="s">
        <v>434</v>
      </c>
    </row>
    <row r="24" customFormat="false" ht="15" hidden="false" customHeight="false" outlineLevel="0" collapsed="false">
      <c r="A24" s="5" t="s">
        <v>435</v>
      </c>
      <c r="B24" s="5" t="s">
        <v>436</v>
      </c>
    </row>
    <row r="25" customFormat="false" ht="15" hidden="false" customHeight="false" outlineLevel="0" collapsed="false">
      <c r="A25" s="5" t="s">
        <v>437</v>
      </c>
      <c r="B25" s="5" t="s">
        <v>438</v>
      </c>
    </row>
    <row r="27" customFormat="false" ht="19.5" hidden="false" customHeight="true" outlineLevel="0" collapsed="false">
      <c r="A27" s="3" t="s">
        <v>439</v>
      </c>
      <c r="B27" s="3"/>
    </row>
    <row r="28" customFormat="false" ht="15" hidden="false" customHeight="false" outlineLevel="0" collapsed="false">
      <c r="A28" s="4" t="s">
        <v>440</v>
      </c>
      <c r="B28" s="4" t="s">
        <v>441</v>
      </c>
    </row>
    <row r="29" customFormat="false" ht="35.05" hidden="false" customHeight="false" outlineLevel="0" collapsed="false">
      <c r="A29" s="5" t="s">
        <v>442</v>
      </c>
      <c r="B29" s="5" t="s">
        <v>443</v>
      </c>
    </row>
    <row r="30" customFormat="false" ht="23.85" hidden="false" customHeight="false" outlineLevel="0" collapsed="false">
      <c r="A30" s="5" t="s">
        <v>444</v>
      </c>
      <c r="B30" s="5" t="s">
        <v>445</v>
      </c>
    </row>
    <row r="31" customFormat="false" ht="23.85" hidden="false" customHeight="false" outlineLevel="0" collapsed="false">
      <c r="A31" s="5" t="s">
        <v>446</v>
      </c>
      <c r="B31" s="5" t="s">
        <v>447</v>
      </c>
    </row>
    <row r="32" customFormat="false" ht="23.85" hidden="false" customHeight="false" outlineLevel="0" collapsed="false">
      <c r="A32" s="5" t="s">
        <v>448</v>
      </c>
      <c r="B32" s="5" t="s">
        <v>449</v>
      </c>
    </row>
    <row r="33" customFormat="false" ht="15" hidden="false" customHeight="false" outlineLevel="0" collapsed="false">
      <c r="A33" s="5" t="s">
        <v>450</v>
      </c>
      <c r="B33" s="5" t="s">
        <v>451</v>
      </c>
    </row>
  </sheetData>
  <mergeCells count="4">
    <mergeCell ref="A2:B2"/>
    <mergeCell ref="A4:B4"/>
    <mergeCell ref="A18:B18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452</v>
      </c>
    </row>
    <row r="2" customFormat="false" ht="18" hidden="false" customHeight="true" outlineLevel="0" collapsed="false">
      <c r="A2" s="2" t="s">
        <v>453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454</v>
      </c>
      <c r="B4" s="4" t="s">
        <v>455</v>
      </c>
      <c r="C4" s="4" t="s">
        <v>456</v>
      </c>
      <c r="D4" s="4" t="s">
        <v>457</v>
      </c>
      <c r="E4" s="4" t="s">
        <v>458</v>
      </c>
    </row>
    <row r="5" customFormat="false" ht="15" hidden="false" customHeight="false" outlineLevel="0" collapsed="false">
      <c r="A5" s="22" t="n">
        <v>1</v>
      </c>
      <c r="B5" s="5" t="s">
        <v>459</v>
      </c>
      <c r="C5" s="5" t="s">
        <v>460</v>
      </c>
      <c r="D5" s="5" t="s">
        <v>461</v>
      </c>
      <c r="E5" s="29" t="s">
        <v>462</v>
      </c>
    </row>
    <row r="6" customFormat="false" ht="23.85" hidden="false" customHeight="false" outlineLevel="0" collapsed="false">
      <c r="A6" s="22" t="n">
        <v>2</v>
      </c>
      <c r="B6" s="5" t="s">
        <v>463</v>
      </c>
      <c r="C6" s="5" t="s">
        <v>460</v>
      </c>
      <c r="D6" s="5" t="s">
        <v>464</v>
      </c>
      <c r="E6" s="29" t="s">
        <v>462</v>
      </c>
    </row>
    <row r="7" customFormat="false" ht="23.85" hidden="false" customHeight="false" outlineLevel="0" collapsed="false">
      <c r="A7" s="22" t="n">
        <v>3</v>
      </c>
      <c r="B7" s="5" t="s">
        <v>465</v>
      </c>
      <c r="C7" s="5" t="s">
        <v>466</v>
      </c>
      <c r="D7" s="5" t="s">
        <v>467</v>
      </c>
      <c r="E7" s="29" t="s">
        <v>462</v>
      </c>
    </row>
    <row r="8" customFormat="false" ht="15" hidden="false" customHeight="false" outlineLevel="0" collapsed="false">
      <c r="A8" s="22" t="n">
        <v>4</v>
      </c>
      <c r="B8" s="5" t="s">
        <v>468</v>
      </c>
      <c r="C8" s="5" t="s">
        <v>469</v>
      </c>
      <c r="D8" s="5" t="s">
        <v>470</v>
      </c>
      <c r="E8" s="29" t="s">
        <v>462</v>
      </c>
    </row>
    <row r="9" customFormat="false" ht="15" hidden="false" customHeight="false" outlineLevel="0" collapsed="false">
      <c r="A9" s="22" t="n">
        <v>5</v>
      </c>
      <c r="B9" s="5" t="s">
        <v>471</v>
      </c>
      <c r="C9" s="5" t="s">
        <v>469</v>
      </c>
      <c r="D9" s="5" t="s">
        <v>472</v>
      </c>
      <c r="E9" s="29" t="s">
        <v>462</v>
      </c>
    </row>
    <row r="10" customFormat="false" ht="15" hidden="false" customHeight="false" outlineLevel="0" collapsed="false">
      <c r="A10" s="22" t="n">
        <v>6</v>
      </c>
      <c r="B10" s="5" t="s">
        <v>473</v>
      </c>
      <c r="C10" s="5" t="s">
        <v>474</v>
      </c>
      <c r="D10" s="5" t="s">
        <v>475</v>
      </c>
      <c r="E10" s="29" t="s">
        <v>462</v>
      </c>
    </row>
    <row r="11" customFormat="false" ht="15" hidden="false" customHeight="false" outlineLevel="0" collapsed="false">
      <c r="A11" s="22" t="n">
        <v>7</v>
      </c>
      <c r="B11" s="5" t="s">
        <v>476</v>
      </c>
      <c r="C11" s="5" t="s">
        <v>477</v>
      </c>
      <c r="D11" s="5" t="s">
        <v>478</v>
      </c>
      <c r="E11" s="29" t="s">
        <v>462</v>
      </c>
    </row>
    <row r="12" customFormat="false" ht="15" hidden="false" customHeight="false" outlineLevel="0" collapsed="false">
      <c r="A12" s="22" t="n">
        <v>8</v>
      </c>
      <c r="B12" s="5" t="s">
        <v>479</v>
      </c>
      <c r="C12" s="5" t="s">
        <v>480</v>
      </c>
      <c r="D12" s="5" t="s">
        <v>481</v>
      </c>
      <c r="E12" s="29" t="s">
        <v>462</v>
      </c>
    </row>
    <row r="13" customFormat="false" ht="15" hidden="false" customHeight="false" outlineLevel="0" collapsed="false">
      <c r="A13" s="22" t="n">
        <v>9</v>
      </c>
      <c r="B13" s="5" t="s">
        <v>482</v>
      </c>
      <c r="C13" s="5" t="s">
        <v>483</v>
      </c>
      <c r="D13" s="5" t="s">
        <v>484</v>
      </c>
      <c r="E13" s="29" t="s">
        <v>462</v>
      </c>
    </row>
    <row r="14" customFormat="false" ht="15" hidden="false" customHeight="false" outlineLevel="0" collapsed="false">
      <c r="A14" s="22" t="n">
        <v>10</v>
      </c>
      <c r="B14" s="5" t="s">
        <v>485</v>
      </c>
      <c r="C14" s="5" t="s">
        <v>486</v>
      </c>
      <c r="D14" s="5" t="s">
        <v>487</v>
      </c>
      <c r="E14" s="29" t="s">
        <v>462</v>
      </c>
    </row>
    <row r="15" customFormat="false" ht="15" hidden="false" customHeight="false" outlineLevel="0" collapsed="false">
      <c r="A15" s="22" t="n">
        <v>11</v>
      </c>
      <c r="B15" s="5" t="s">
        <v>488</v>
      </c>
      <c r="C15" s="5" t="s">
        <v>489</v>
      </c>
      <c r="D15" s="5" t="s">
        <v>490</v>
      </c>
      <c r="E15" s="29" t="s">
        <v>462</v>
      </c>
    </row>
    <row r="16" customFormat="false" ht="15" hidden="false" customHeight="false" outlineLevel="0" collapsed="false">
      <c r="A16" s="22" t="n">
        <v>12</v>
      </c>
      <c r="B16" s="5" t="s">
        <v>491</v>
      </c>
      <c r="C16" s="5" t="s">
        <v>474</v>
      </c>
      <c r="D16" s="5" t="s">
        <v>492</v>
      </c>
      <c r="E16" s="29" t="s">
        <v>462</v>
      </c>
    </row>
    <row r="17" customFormat="false" ht="23.85" hidden="false" customHeight="false" outlineLevel="0" collapsed="false">
      <c r="A17" s="22" t="n">
        <v>13</v>
      </c>
      <c r="B17" s="5" t="s">
        <v>493</v>
      </c>
      <c r="C17" s="5" t="s">
        <v>494</v>
      </c>
      <c r="D17" s="5" t="s">
        <v>495</v>
      </c>
      <c r="E17" s="29" t="s">
        <v>462</v>
      </c>
    </row>
    <row r="18" customFormat="false" ht="15" hidden="false" customHeight="false" outlineLevel="0" collapsed="false">
      <c r="A18" s="22" t="n">
        <v>14</v>
      </c>
      <c r="B18" s="5" t="s">
        <v>496</v>
      </c>
      <c r="C18" s="5" t="s">
        <v>497</v>
      </c>
      <c r="D18" s="5" t="s">
        <v>498</v>
      </c>
      <c r="E18" s="29" t="s">
        <v>462</v>
      </c>
    </row>
    <row r="19" customFormat="false" ht="23.85" hidden="false" customHeight="false" outlineLevel="0" collapsed="false">
      <c r="A19" s="22" t="n">
        <v>15</v>
      </c>
      <c r="B19" s="5" t="s">
        <v>499</v>
      </c>
      <c r="C19" s="5" t="s">
        <v>500</v>
      </c>
      <c r="D19" s="5" t="s">
        <v>501</v>
      </c>
      <c r="E19" s="29" t="s">
        <v>462</v>
      </c>
    </row>
    <row r="20" customFormat="false" ht="15" hidden="false" customHeight="false" outlineLevel="0" collapsed="false">
      <c r="A20" s="22" t="n">
        <v>16</v>
      </c>
      <c r="B20" s="5" t="s">
        <v>502</v>
      </c>
      <c r="C20" s="5" t="s">
        <v>500</v>
      </c>
      <c r="D20" s="5" t="s">
        <v>503</v>
      </c>
      <c r="E20" s="29" t="s">
        <v>462</v>
      </c>
    </row>
  </sheetData>
  <mergeCells count="1">
    <mergeCell ref="A2:E2"/>
  </mergeCells>
  <dataValidations count="1">
    <dataValidation allowBlank="true" errorStyle="stop" operator="between" showDropDown="false" showErrorMessage="false" showInputMessage="false" sqref="E5:E2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2026-09-28T12:03:39Z</dcterms:created>
  <dc:creator>openpyxl</dc:creator>
  <dc:description/>
  <dc:language>en-US</dc:language>
  <cp:lastModifiedBy/>
  <dcterms:modified xsi:type="dcterms:W3CDTF">2026-09-28T12:03:39Z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