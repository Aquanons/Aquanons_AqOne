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eal Terms" sheetId="3" state="visible" r:id="rId5"/>
    <sheet name="Projections" sheetId="4" state="visible" r:id="rId6"/>
    <sheet name="Investor 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<sst xmlns="http://schemas.openxmlformats.org/spreadsheetml/2006/main" count="327" uniqueCount="189">
  <si>
    <t xml:space="preserve">AqOne Investor Summary</t>
  </si>
  <si>
    <t xml:space="preserve">Hybrid deal: equity plus per-unit royalties, paid in two tranches after the DOST-funded pilot year. Draft for the startup competition; validate the yellow assumptions.</t>
  </si>
  <si>
    <t xml:space="preserve">THE ASK</t>
  </si>
  <si>
    <t xml:space="preserve">Total commitment</t>
  </si>
  <si>
    <t xml:space="preserve">Tranche 1 (end of Y1, after milestone 1)</t>
  </si>
  <si>
    <t xml:space="preserve">Tranche 2 (end of Y2, after milestone 2)</t>
  </si>
  <si>
    <t xml:space="preserve">Investor ownership after both tranches</t>
  </si>
  <si>
    <t xml:space="preserve">Royalty per boat pod sold</t>
  </si>
  <si>
    <t xml:space="preserve">Royalty per paying municipality, per year</t>
  </si>
  <si>
    <t xml:space="preserve">Royalty cap (multiple of money paid in)</t>
  </si>
  <si>
    <t xml:space="preserve">OUTCOMES BY SCENARIO</t>
  </si>
  <si>
    <t xml:space="preserve">Low</t>
  </si>
  <si>
    <t xml:space="preserve">Base</t>
  </si>
  <si>
    <t xml:space="preserve">High</t>
  </si>
  <si>
    <t xml:space="preserve">Paying municipalities (Y5)</t>
  </si>
  <si>
    <t xml:space="preserve">Active boat pods (Y5)</t>
  </si>
  <si>
    <t xml:space="preserve">Revenue (Y5)</t>
  </si>
  <si>
    <t xml:space="preserve">EBITDA (Y5)</t>
  </si>
  <si>
    <t xml:space="preserve">Pod sales share of Y5 revenue</t>
  </si>
  <si>
    <t xml:space="preserve">Deepest cash need with no investor money</t>
  </si>
  <si>
    <t xml:space="preserve">Lowest cash point Y2-Y5 (before that year's tranche)</t>
  </si>
  <si>
    <t xml:space="preserve">Bridge financing needed (total)</t>
  </si>
  <si>
    <t xml:space="preserve">Investor ownership at exit (after later round and bridge)</t>
  </si>
  <si>
    <t xml:space="preserve">Royalties received by investor by Y5</t>
  </si>
  <si>
    <t xml:space="preserve">Equity value at exit (end of Y5)</t>
  </si>
  <si>
    <t xml:space="preserve">Investor money multiple</t>
  </si>
  <si>
    <t xml:space="preserve">Investor annualized return (IRR)</t>
  </si>
  <si>
    <t xml:space="preserve">Money multiple with no exit (royalties only)</t>
  </si>
  <si>
    <t xml:space="preserve">Annualized return with no exit</t>
  </si>
  <si>
    <t xml:space="preserve">Y1 is funded by the DOST grant: investors pay nothing and receive nothing that year.</t>
  </si>
  <si>
    <t xml:space="preserve">Royalties are paid only from commercial revenue, never from DOST grant funds.</t>
  </si>
  <si>
    <t xml:space="preserve">Any shortfall is covered by bridge financing raised at the tranche 2 valuation, which dilutes the investor; slower hiring is the alternative.</t>
  </si>
  <si>
    <t xml:space="preserve">Pod unit margin at ₱19,900 price and ₱17,500 cost is ₱2,400 (12.1%); the ₱750 royalty leaves ₱1,650 before other costs.</t>
  </si>
  <si>
    <t xml:space="preserve">Unit costs come from the DOST Master Budget. Prices, deployment pace, cancellation rate and exit multiples are assumptions to validate.</t>
  </si>
  <si>
    <t xml:space="preserve">Illustrative terms for a competition pitch. Final terms are agreed privately with each investor (SEC rules on public offers).</t>
  </si>
  <si>
    <t xml:space="preserve">AqOne Investor Model - Assumptions</t>
  </si>
  <si>
    <t xml:space="preserve">Blue = editable input. Yellow = key assumption to validate with the pilot, LGUs and co-ops. Sources in column D.</t>
  </si>
  <si>
    <t xml:space="preserve">MARKET ANCHORS (reference, not used in formulas)</t>
  </si>
  <si>
    <t xml:space="preserve">Registered municipal fishing boats, Philippines (BoatR 2024)</t>
  </si>
  <si>
    <t xml:space="preserve">Oceana, Philippine Fisheries Assessment (2026), citing BFAR BoatR</t>
  </si>
  <si>
    <t xml:space="preserve">Registered municipal fisherfolk (FishR 2024, low estimate)</t>
  </si>
  <si>
    <t xml:space="preserve">Oceana, Philippine Fisheries Assessment (2026); sources conflict up to 2.6M</t>
  </si>
  <si>
    <t xml:space="preserve">New Washington annual revenue, 2024</t>
  </si>
  <si>
    <t xml:space="preserve">Wikipedia, New Washington, Aklan (2024 financials)</t>
  </si>
  <si>
    <t xml:space="preserve">LDRRMF share of regular revenue (legal minimum)</t>
  </si>
  <si>
    <t xml:space="preserve">RA 10121: at least 5% of estimated revenue from regular sources</t>
  </si>
  <si>
    <t xml:space="preserve">Average municipal fisher household income, per month (2018)</t>
  </si>
  <si>
    <t xml:space="preserve">Wikipedia, Municipal fisheries in the Philippines (PSA data)</t>
  </si>
  <si>
    <t xml:space="preserve">UNIT COSTS (from the DOST Master Budget, 28 Sep 2026)</t>
  </si>
  <si>
    <t xml:space="preserve">Buoy relay node, per unit</t>
  </si>
  <si>
    <t xml:space="preserve">Master Budget B.1.1-B.1.7</t>
  </si>
  <si>
    <t xml:space="preserve">Buoy relay nodes per municipality</t>
  </si>
  <si>
    <t xml:space="preserve">Pilot assumption</t>
  </si>
  <si>
    <t xml:space="preserve">Shore gateway, per unit</t>
  </si>
  <si>
    <t xml:space="preserve">Master Budget B.1.9</t>
  </si>
  <si>
    <t xml:space="preserve">Shore gateways per municipality</t>
  </si>
  <si>
    <t xml:space="preserve">Installation, commissioning and training, per municipality</t>
  </si>
  <si>
    <t xml:space="preserve">Estimate: field labor, travel, LGU and fisher training</t>
  </si>
  <si>
    <t xml:space="preserve">Boat pod, per unit</t>
  </si>
  <si>
    <t xml:space="preserve">Master Budget B.1.8, including the physical SOS button</t>
  </si>
  <si>
    <t xml:space="preserve">Recurring cost per active municipality, per year</t>
  </si>
  <si>
    <t xml:space="preserve">Gateway SIMs ₱24k, SMS ₱15k, share of hosting, maintenance visits (Master Budget B.3-B.4)</t>
  </si>
  <si>
    <t xml:space="preserve">Service cost per active pod, per year</t>
  </si>
  <si>
    <t xml:space="preserve">Estimate: support, app and data costs per boat</t>
  </si>
  <si>
    <t xml:space="preserve">Pod replacement and repair reserve, per active pod per year (% of pod cost)</t>
  </si>
  <si>
    <t xml:space="preserve">Estimate: covers damaged or lost pods and parts; ₱300 alone would cover only ~1.75% replacement</t>
  </si>
  <si>
    <t xml:space="preserve">Infrastructure cost decline per year</t>
  </si>
  <si>
    <t xml:space="preserve">Estimate: volume buying</t>
  </si>
  <si>
    <t xml:space="preserve">Pod cost decline per year</t>
  </si>
  <si>
    <t xml:space="preserve">Estimate: custom boards replace dev modules; target ~₱10k by Y5</t>
  </si>
  <si>
    <t xml:space="preserve">PRICING</t>
  </si>
  <si>
    <t xml:space="preserve">LGU annual subscription (equipment lease + platform + maintenance)</t>
  </si>
  <si>
    <t xml:space="preserve">Assumption: ≈3.5% of a ~₱10M LDRRMF; validate with New Washington</t>
  </si>
  <si>
    <t xml:space="preserve">Boat pod price (co-op purchase, installment via co-op/MFI)</t>
  </si>
  <si>
    <t xml:space="preserve">Assumption; ≈1.3 months of fisher income, so a co-pay is likely needed</t>
  </si>
  <si>
    <t xml:space="preserve">Pod service fee, per active pod per year</t>
  </si>
  <si>
    <t xml:space="preserve">Assumption: ₱100/month per boat</t>
  </si>
  <si>
    <t xml:space="preserve">Local sponsorship revenue per active municipality, per year</t>
  </si>
  <si>
    <t xml:space="preserve">Estimate: 2 local sponsors (fuel suppliers, fish traders, co-ops, rural banks) × ₱2,500/month on the weather and advisory screens; never on SOS or alert screens</t>
  </si>
  <si>
    <t xml:space="preserve">Sponsorship sales and servicing cost</t>
  </si>
  <si>
    <t xml:space="preserve">Estimate: share of sponsorship revenue</t>
  </si>
  <si>
    <t xml:space="preserve">GROWTH AND OPERATIONS</t>
  </si>
  <si>
    <t xml:space="preserve">Pods sold per active municipality per year (from Y2)</t>
  </si>
  <si>
    <t xml:space="preserve">Assumption: co-op driven</t>
  </si>
  <si>
    <t xml:space="preserve">Municipality cancellation rate per year</t>
  </si>
  <si>
    <t xml:space="preserve">Assumption</t>
  </si>
  <si>
    <t xml:space="preserve">Later funding round dilution before exit</t>
  </si>
  <si>
    <t xml:space="preserve">Assumption: one seed round between tranche 2 and exit</t>
  </si>
  <si>
    <t xml:space="preserve">Y1 company costs funded outside the grant and investors</t>
  </si>
  <si>
    <t xml:space="preserve">Company setup, legal work and the ASU IP license; not in the DOST budget. Source: competition prizes or founders. CONFIRM no overlap with grant lines</t>
  </si>
  <si>
    <t xml:space="preserve">YEARLY INPUTS</t>
  </si>
  <si>
    <t xml:space="preserve">Y1 (DOST pilot)</t>
  </si>
  <si>
    <t xml:space="preserve">Y2</t>
  </si>
  <si>
    <t xml:space="preserve">Y3</t>
  </si>
  <si>
    <t xml:space="preserve">Y4</t>
  </si>
  <si>
    <t xml:space="preserve">Y5</t>
  </si>
  <si>
    <t xml:space="preserve">New paying municipalities per year (base case)</t>
  </si>
  <si>
    <t xml:space="preserve">Company fixed costs per year (team, sales, legal, office, base hosting)</t>
  </si>
  <si>
    <t xml:space="preserve">Y1 is the DOST-funded pilot: no commercial sales, no investor money, no returns. Pilot hardware is in the DOST budget; the Y1 fixed cost here is company setup only.</t>
  </si>
  <si>
    <t xml:space="preserve">SCENARIOS</t>
  </si>
  <si>
    <t xml:space="preserve">Scenario</t>
  </si>
  <si>
    <t xml:space="preserve">Deployment pace</t>
  </si>
  <si>
    <t xml:space="preserve">Exit multiple</t>
  </si>
  <si>
    <t xml:space="preserve">Exit value = Y5 revenue × multiple. Pace scales new municipalities; fixed costs from Y2 scale partly with pace (Y1 setup cost is fixed).</t>
  </si>
  <si>
    <t xml:space="preserve">AqOne Investor Terms - Hybrid, Milestone-Tranched</t>
  </si>
  <si>
    <t xml:space="preserve">Investors commit now at today's valuation and pay only after each milestone is met. No money and no returns during the DOST-funded pilot year.</t>
  </si>
  <si>
    <t xml:space="preserve">TRANCHES</t>
  </si>
  <si>
    <t xml:space="preserve">Tranche 1</t>
  </si>
  <si>
    <t xml:space="preserve">Tranche 2</t>
  </si>
  <si>
    <t xml:space="preserve">Notes</t>
  </si>
  <si>
    <t xml:space="preserve">Paid at</t>
  </si>
  <si>
    <t xml:space="preserve">End of Y1</t>
  </si>
  <si>
    <t xml:space="preserve">End of Y2</t>
  </si>
  <si>
    <t xml:space="preserve">Each tranche is paid only when its milestone below is verified.</t>
  </si>
  <si>
    <t xml:space="preserve">Amount</t>
  </si>
  <si>
    <t xml:space="preserve">Post-money valuation for the tranche</t>
  </si>
  <si>
    <t xml:space="preserve">Tranche 2 is priced higher because milestone 1 has removed risk.</t>
  </si>
  <si>
    <t xml:space="preserve">Equity issued for the tranche</t>
  </si>
  <si>
    <t xml:space="preserve">Hybrid terms: less equity than an equity-only deal because royalties return the investor's money first.</t>
  </si>
  <si>
    <t xml:space="preserve">Tranche 1 stake is diluted slightly when tranche 2 shares are issued.</t>
  </si>
  <si>
    <t xml:space="preserve">Ownership at exit before any bridge (after later round)</t>
  </si>
  <si>
    <t xml:space="preserve">ROYALTY (paid from commercial revenue only, never from DOST funds)</t>
  </si>
  <si>
    <t xml:space="preserve">Royalty cap, as a multiple of money paid in</t>
  </si>
  <si>
    <t xml:space="preserve">Royalties stop once the investor has received this multiple of what they have paid in. The equity stays.</t>
  </si>
  <si>
    <t xml:space="preserve">Share of royalty rates paid in Y2 (after tranche 1 only)</t>
  </si>
  <si>
    <t xml:space="preserve">Half rates in Y2, full rates from Y3 (after tranche 2). No royalties in Y1.</t>
  </si>
  <si>
    <t xml:space="preserve">Share of royalty rates paid from Y3</t>
  </si>
  <si>
    <t xml:space="preserve">MILESTONES</t>
  </si>
  <si>
    <t xml:space="preserve">Before any tranche</t>
  </si>
  <si>
    <t xml:space="preserve">DOST grant approved; company registered with SEC; IP license or assignment signed with ASU; term sheet signed.</t>
  </si>
  <si>
    <t xml:space="preserve">Milestone 1 (unlocks tranche 1, end of Y1)</t>
  </si>
  <si>
    <t xml:space="preserve">Pilot live in New Washington: 3 buoy relay nodes, 2 shore gateways, 18+ boat pods at sea. Network uptime ≥95% over the last 3 months. ≥95% of SOS drill messages delivered. Agreed number of active fishers. Paid Y2 service agreement or LOI from New Washington. Measured real unit costs.</t>
  </si>
  <si>
    <t xml:space="preserve">Milestone 2 (unlocks tranche 2, end of Y2)</t>
  </si>
  <si>
    <t xml:space="preserve">3 paying municipalities. 150+ active boat pods. At least 1 co-op purchase agreement. Pilot LGU renews. Deployment gross margin ≥35%.</t>
  </si>
  <si>
    <t xml:space="preserve">If a milestone is missed</t>
  </si>
  <si>
    <t xml:space="preserve">The investor may decline the next tranche and keeps what was already issued. Fallback if DOST is delayed or rejected: the investor may fund the pilot directly at an agreed valuation.</t>
  </si>
  <si>
    <t xml:space="preserve">AqOne 5-Year Projections - Low, Base and High</t>
  </si>
  <si>
    <t xml:space="preserve">All figures in PHP. Y1 is the DOST pilot. Formulas only; change inputs on the Assumptions and Deal Terms sheets.</t>
  </si>
  <si>
    <t xml:space="preserve">LOW CASE</t>
  </si>
  <si>
    <t xml:space="preserve">New paying municipalities</t>
  </si>
  <si>
    <t xml:space="preserve">Active paying municipalities</t>
  </si>
  <si>
    <t xml:space="preserve">Boat pods sold</t>
  </si>
  <si>
    <t xml:space="preserve">Active boat pods</t>
  </si>
  <si>
    <t xml:space="preserve">REVENUE</t>
  </si>
  <si>
    <t xml:space="preserve">LGU subscriptions</t>
  </si>
  <si>
    <t xml:space="preserve">Boat pod sales</t>
  </si>
  <si>
    <t xml:space="preserve">Pod service fees</t>
  </si>
  <si>
    <t xml:space="preserve">Local sponsorships</t>
  </si>
  <si>
    <t xml:space="preserve">Total revenue</t>
  </si>
  <si>
    <t xml:space="preserve">COSTS</t>
  </si>
  <si>
    <t xml:space="preserve">Recurring cost of active municipalities</t>
  </si>
  <si>
    <t xml:space="preserve">Cost of pods sold</t>
  </si>
  <si>
    <t xml:space="preserve">Pod service cost</t>
  </si>
  <si>
    <t xml:space="preserve">Sponsorship sales cost</t>
  </si>
  <si>
    <t xml:space="preserve">Gross profit</t>
  </si>
  <si>
    <t xml:space="preserve">Gross margin</t>
  </si>
  <si>
    <t xml:space="preserve">Company fixed costs</t>
  </si>
  <si>
    <t xml:space="preserve">EBITDA</t>
  </si>
  <si>
    <t xml:space="preserve">Equipment for new municipalities (company-owned, leased)</t>
  </si>
  <si>
    <t xml:space="preserve">INVESTOR</t>
  </si>
  <si>
    <t xml:space="preserve">Investor money paid in, cumulative (start of year)</t>
  </si>
  <si>
    <t xml:space="preserve">Royalty earned at tranche-based rates</t>
  </si>
  <si>
    <t xml:space="preserve">Royalty paid (capped)</t>
  </si>
  <si>
    <t xml:space="preserve">Royalty paid, cumulative</t>
  </si>
  <si>
    <t xml:space="preserve">Tranche received (end of year)</t>
  </si>
  <si>
    <t xml:space="preserve">CASH</t>
  </si>
  <si>
    <t xml:space="preserve">Cumulative cash with no investor money</t>
  </si>
  <si>
    <t xml:space="preserve">Cash just before this year's tranche arrives</t>
  </si>
  <si>
    <t xml:space="preserve">Bridge financing needed to stay above zero</t>
  </si>
  <si>
    <t xml:space="preserve">Cumulative cash after tranche and bridge</t>
  </si>
  <si>
    <t xml:space="preserve">INVESTOR OWNERSHIP</t>
  </si>
  <si>
    <t xml:space="preserve">Bridge financing, cumulative</t>
  </si>
  <si>
    <t xml:space="preserve">BASE CASE</t>
  </si>
  <si>
    <t xml:space="preserve">HIGH CASE</t>
  </si>
  <si>
    <t xml:space="preserve">AqOne Investor Returns - Hybrid, Tranched</t>
  </si>
  <si>
    <t xml:space="preserve">Cash flows to the investor at each year end. Negative = money in; positive = royalties and the equity value at exit (end of Y5).</t>
  </si>
  <si>
    <t xml:space="preserve">Tranche paid in</t>
  </si>
  <si>
    <t xml:space="preserve">Royalty received</t>
  </si>
  <si>
    <t xml:space="preserve">Equity value at exit</t>
  </si>
  <si>
    <t xml:space="preserve">Net cash flow to investor</t>
  </si>
  <si>
    <t xml:space="preserve">Total paid in</t>
  </si>
  <si>
    <t xml:space="preserve">Total royalties received by Y5</t>
  </si>
  <si>
    <t xml:space="preserve">Equity value at exit (Y5 revenue × multiple × ownership)</t>
  </si>
  <si>
    <t xml:space="preserve">Money multiple (total received ÷ paid in)</t>
  </si>
  <si>
    <t xml:space="preserve">Annualized return (IRR)</t>
  </si>
  <si>
    <t xml:space="preserve">Royalties repay 100% of money paid in</t>
  </si>
  <si>
    <t xml:space="preserve">Money multiple with no exit (royalties only, by Y5)</t>
  </si>
  <si>
    <t xml:space="preserve">Net cash flow to investor with no exit</t>
  </si>
  <si>
    <t xml:space="preserve">Annualized return with no exit (IRR)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</si>
</sst>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₱#,##0;&quot;(₱&quot;#,##0\);\-"/>
    <numFmt numFmtId="166" formatCode="0.0%"/>
    <numFmt numFmtId="167" formatCode="0.0\×"/>
    <numFmt numFmtId="168" formatCode="0"/>
    <numFmt numFmtId="169" formatCode="#,##0"/>
    <numFmt numFmtId="170" formatCode="0.0&quot;× pace&quot;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n">
        <f aca="false">'Deal Terms'!$B$7+'Deal Terms'!$C$7</f>
        <v>8000000</v>
      </c>
    </row>
    <row r="6" customFormat="false" ht="15" hidden="false" customHeight="false" outlineLevel="0" collapsed="false">
      <c r="A6" s="5" t="s">
        <v>4</v>
      </c>
      <c r="B6" s="6" t="n">
        <f aca="false">'Deal Terms'!$B$7</f>
        <v>3000000</v>
      </c>
    </row>
    <row r="7" customFormat="false" ht="15" hidden="false" customHeight="false" outlineLevel="0" collapsed="false">
      <c r="A7" s="5" t="s">
        <v>5</v>
      </c>
      <c r="B7" s="6" t="n">
        <f aca="false">'Deal Terms'!$C$7</f>
        <v>5000000</v>
      </c>
    </row>
    <row r="8" customFormat="false" ht="15" hidden="false" customHeight="false" outlineLevel="0" collapsed="false">
      <c r="A8" s="5" t="s">
        <v>6</v>
      </c>
      <c r="B8" s="7" t="n">
        <f aca="false">'Deal Terms'!B10</f>
        <v>0.122666666666667</v>
      </c>
    </row>
    <row r="9" customFormat="false" ht="15" hidden="false" customHeight="false" outlineLevel="0" collapsed="false">
      <c r="A9" s="5" t="s">
        <v>7</v>
      </c>
      <c r="B9" s="6" t="n">
        <f aca="false">'Deal Terms'!$B$14</f>
        <v>750</v>
      </c>
    </row>
    <row r="10" customFormat="false" ht="15" hidden="false" customHeight="false" outlineLevel="0" collapsed="false">
      <c r="A10" s="5" t="s">
        <v>8</v>
      </c>
      <c r="B10" s="6" t="n">
        <f aca="false">'Deal Terms'!$B$15</f>
        <v>12500</v>
      </c>
    </row>
    <row r="11" customFormat="false" ht="15" hidden="false" customHeight="false" outlineLevel="0" collapsed="false">
      <c r="A11" s="5" t="s">
        <v>9</v>
      </c>
      <c r="B11" s="8" t="n">
        <f aca="false">'Deal Terms'!$B$16</f>
        <v>1</v>
      </c>
    </row>
    <row r="13" customFormat="false" ht="15" hidden="false" customHeight="false" outlineLevel="0" collapsed="false">
      <c r="A13" s="3" t="s">
        <v>10</v>
      </c>
      <c r="B13" s="4"/>
      <c r="C13" s="4"/>
      <c r="D13" s="4"/>
    </row>
    <row r="14" customFormat="false" ht="15" hidden="false" customHeight="false" outlineLevel="0" collapsed="false">
      <c r="A14" s="9"/>
      <c r="B14" s="10" t="s">
        <v>11</v>
      </c>
      <c r="C14" s="10" t="s">
        <v>12</v>
      </c>
      <c r="D14" s="10" t="s">
        <v>13</v>
      </c>
    </row>
    <row r="15" customFormat="false" ht="15" hidden="false" customHeight="false" outlineLevel="0" collapsed="false">
      <c r="A15" s="5" t="s">
        <v>14</v>
      </c>
      <c r="B15" s="11" t="n">
        <f aca="false">Projections!G7</f>
        <v>24.898</v>
      </c>
      <c r="C15" s="11" t="n">
        <f aca="false">Projections!G45</f>
        <v>47.167</v>
      </c>
      <c r="D15" s="11" t="n">
        <f aca="false">Projections!G83</f>
        <v>75.775</v>
      </c>
    </row>
    <row r="16" customFormat="false" ht="15" hidden="false" customHeight="false" outlineLevel="0" collapsed="false">
      <c r="A16" s="5" t="s">
        <v>15</v>
      </c>
      <c r="B16" s="12" t="n">
        <f aca="false">Projections!G9</f>
        <v>2296</v>
      </c>
      <c r="C16" s="12" t="n">
        <f aca="false">Projections!G47</f>
        <v>4275</v>
      </c>
      <c r="D16" s="12" t="n">
        <f aca="false">Projections!G85</f>
        <v>6902</v>
      </c>
    </row>
    <row r="17" customFormat="false" ht="15" hidden="false" customHeight="false" outlineLevel="0" collapsed="false">
      <c r="A17" s="5" t="s">
        <v>16</v>
      </c>
      <c r="B17" s="13" t="n">
        <f aca="false">Projections!G15</f>
        <v>37738880</v>
      </c>
      <c r="C17" s="13" t="n">
        <f aca="false">Projections!G53</f>
        <v>71392670</v>
      </c>
      <c r="D17" s="13" t="n">
        <f aca="false">Projections!G91</f>
        <v>114751250</v>
      </c>
    </row>
    <row r="18" customFormat="false" ht="15" hidden="false" customHeight="false" outlineLevel="0" collapsed="false">
      <c r="A18" s="5" t="s">
        <v>17</v>
      </c>
      <c r="B18" s="13" t="n">
        <f aca="false">Projections!G24</f>
        <v>5914527.36576</v>
      </c>
      <c r="C18" s="13" t="n">
        <f aca="false">Projections!G62</f>
        <v>22450972.5136</v>
      </c>
      <c r="D18" s="13" t="n">
        <f aca="false">Projections!G100</f>
        <v>43872914.71392</v>
      </c>
    </row>
    <row r="19" customFormat="false" ht="15" hidden="false" customHeight="false" outlineLevel="0" collapsed="false">
      <c r="A19" s="5" t="s">
        <v>18</v>
      </c>
      <c r="B19" s="14" t="n">
        <f aca="false">Projections!G12/Projections!G15</f>
        <v>0.656498020079027</v>
      </c>
      <c r="C19" s="14" t="n">
        <f aca="false">Projections!G50/Projections!G53</f>
        <v>0.657269156623502</v>
      </c>
      <c r="D19" s="14" t="n">
        <f aca="false">Projections!G88/Projections!G91</f>
        <v>0.65708303831113</v>
      </c>
    </row>
    <row r="20" customFormat="false" ht="15" hidden="false" customHeight="false" outlineLevel="0" collapsed="false">
      <c r="A20" s="5" t="s">
        <v>19</v>
      </c>
      <c r="B20" s="13" t="n">
        <f aca="false">MIN(Projections!C34:G34)</f>
        <v>-7879595.774</v>
      </c>
      <c r="C20" s="13" t="n">
        <f aca="false">MIN(Projections!C72:G72)</f>
        <v>-4783611.7</v>
      </c>
      <c r="D20" s="13" t="n">
        <f aca="false">MIN(Projections!C110:G110)</f>
        <v>-2881513.325</v>
      </c>
    </row>
    <row r="21" customFormat="false" ht="15" hidden="false" customHeight="false" outlineLevel="0" collapsed="false">
      <c r="A21" s="5" t="s">
        <v>20</v>
      </c>
      <c r="B21" s="13" t="n">
        <f aca="false">MIN(Projections!D35:G35)</f>
        <v>120404.226000002</v>
      </c>
      <c r="C21" s="13" t="n">
        <f aca="false">MIN(Projections!D73:G73)</f>
        <v>139472.5</v>
      </c>
      <c r="D21" s="13" t="n">
        <f aca="false">MIN(Projections!D111:G111)</f>
        <v>145787.5</v>
      </c>
    </row>
    <row r="22" customFormat="false" ht="15" hidden="false" customHeight="false" outlineLevel="0" collapsed="false">
      <c r="A22" s="5" t="s">
        <v>21</v>
      </c>
      <c r="B22" s="13" t="n">
        <f aca="false">Projections!G39</f>
        <v>0</v>
      </c>
      <c r="C22" s="13" t="n">
        <f aca="false">Projections!G77</f>
        <v>0</v>
      </c>
      <c r="D22" s="13" t="n">
        <f aca="false">Projections!G115</f>
        <v>0</v>
      </c>
    </row>
    <row r="23" customFormat="false" ht="15" hidden="false" customHeight="false" outlineLevel="0" collapsed="false">
      <c r="A23" s="5" t="s">
        <v>22</v>
      </c>
      <c r="B23" s="14" t="n">
        <f aca="false">Projections!G40</f>
        <v>0.0981333333333334</v>
      </c>
      <c r="C23" s="14" t="n">
        <f aca="false">Projections!G78</f>
        <v>0.0981333333333334</v>
      </c>
      <c r="D23" s="14" t="n">
        <f aca="false">Projections!G116</f>
        <v>0.0981333333333334</v>
      </c>
    </row>
    <row r="24" customFormat="false" ht="15" hidden="false" customHeight="false" outlineLevel="0" collapsed="false">
      <c r="A24" s="5" t="s">
        <v>23</v>
      </c>
      <c r="B24" s="13" t="n">
        <f aca="false">'Investor Returns'!B12</f>
        <v>2245975</v>
      </c>
      <c r="C24" s="13" t="n">
        <f aca="false">'Investor Returns'!B29</f>
        <v>4199962.5</v>
      </c>
      <c r="D24" s="13" t="n">
        <f aca="false">'Investor Returns'!B46</f>
        <v>6776812.5</v>
      </c>
    </row>
    <row r="25" customFormat="false" ht="15" hidden="false" customHeight="false" outlineLevel="0" collapsed="false">
      <c r="A25" s="5" t="s">
        <v>24</v>
      </c>
      <c r="B25" s="13" t="n">
        <f aca="false">'Investor Returns'!B13</f>
        <v>7406884.18133333</v>
      </c>
      <c r="C25" s="13" t="n">
        <f aca="false">'Investor Returns'!B30</f>
        <v>21018002.048</v>
      </c>
      <c r="D25" s="13" t="n">
        <f aca="false">'Investor Returns'!B47</f>
        <v>45043690.6666667</v>
      </c>
    </row>
    <row r="26" customFormat="false" ht="15" hidden="false" customHeight="false" outlineLevel="0" collapsed="false">
      <c r="A26" s="15" t="s">
        <v>25</v>
      </c>
      <c r="B26" s="8" t="n">
        <f aca="false">'Investor Returns'!B14</f>
        <v>1.20660739766667</v>
      </c>
      <c r="C26" s="8" t="n">
        <f aca="false">'Investor Returns'!B31</f>
        <v>3.1522455685</v>
      </c>
      <c r="D26" s="8" t="n">
        <f aca="false">'Investor Returns'!B48</f>
        <v>6.47756289583333</v>
      </c>
    </row>
    <row r="27" customFormat="false" ht="15" hidden="false" customHeight="false" outlineLevel="0" collapsed="false">
      <c r="A27" s="15" t="s">
        <v>26</v>
      </c>
      <c r="B27" s="7" t="n">
        <f aca="false">'Investor Returns'!B15</f>
        <v>0.0598452031386095</v>
      </c>
      <c r="C27" s="7" t="n">
        <f aca="false">'Investor Returns'!B32</f>
        <v>0.418447718096162</v>
      </c>
      <c r="D27" s="7" t="n">
        <f aca="false">'Investor Returns'!B49</f>
        <v>0.756953841032756</v>
      </c>
    </row>
    <row r="28" customFormat="false" ht="15" hidden="false" customHeight="false" outlineLevel="0" collapsed="false">
      <c r="A28" s="5" t="s">
        <v>27</v>
      </c>
      <c r="B28" s="16" t="n">
        <f aca="false">'Investor Returns'!B17</f>
        <v>0.280746875</v>
      </c>
      <c r="C28" s="16" t="n">
        <f aca="false">'Investor Returns'!B34</f>
        <v>0.5249953125</v>
      </c>
      <c r="D28" s="16" t="n">
        <f aca="false">'Investor Returns'!B51</f>
        <v>0.8471015625</v>
      </c>
    </row>
    <row r="29" customFormat="false" ht="15" hidden="false" customHeight="false" outlineLevel="0" collapsed="false">
      <c r="A29" s="5" t="s">
        <v>28</v>
      </c>
      <c r="B29" s="14" t="n">
        <f aca="false">'Investor Returns'!B19</f>
        <v>-0.361730076795754</v>
      </c>
      <c r="C29" s="14" t="n">
        <f aca="false">'Investor Returns'!B36</f>
        <v>-0.204805876489459</v>
      </c>
      <c r="D29" s="14" t="n">
        <f aca="false">'Investor Returns'!B53</f>
        <v>-0.0579629737385882</v>
      </c>
    </row>
    <row r="32" customFormat="false" ht="15" hidden="false" customHeight="false" outlineLevel="0" collapsed="false">
      <c r="A32" s="2" t="s">
        <v>29</v>
      </c>
    </row>
    <row r="33" customFormat="false" ht="15" hidden="false" customHeight="false" outlineLevel="0" collapsed="false">
      <c r="A33" s="2" t="s">
        <v>30</v>
      </c>
    </row>
    <row r="34" customFormat="false" ht="15" hidden="false" customHeight="false" outlineLevel="0" collapsed="false">
      <c r="A34" s="2" t="s">
        <v>31</v>
      </c>
    </row>
    <row r="35" customFormat="false" ht="15" hidden="false" customHeight="false" outlineLevel="0" collapsed="false">
      <c r="A35" s="2" t="s">
        <v>32</v>
      </c>
    </row>
    <row r="36" customFormat="false" ht="15" hidden="false" customHeight="false" outlineLevel="0" collapsed="false">
      <c r="A36" s="2" t="s">
        <v>33</v>
      </c>
    </row>
    <row r="37" customFormat="false" ht="15" hidden="false" customHeight="false" outlineLevel="0" collapsed="false">
      <c r="A37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17" t="s">
        <v>37</v>
      </c>
      <c r="B4" s="18"/>
      <c r="C4" s="18"/>
      <c r="D4" s="18"/>
    </row>
    <row r="5" customFormat="false" ht="15" hidden="false" customHeight="false" outlineLevel="0" collapsed="false">
      <c r="A5" s="5" t="s">
        <v>38</v>
      </c>
      <c r="B5" s="19" t="n">
        <v>442014</v>
      </c>
      <c r="D5" s="2" t="s">
        <v>39</v>
      </c>
    </row>
    <row r="6" customFormat="false" ht="15" hidden="false" customHeight="false" outlineLevel="0" collapsed="false">
      <c r="A6" s="5" t="s">
        <v>40</v>
      </c>
      <c r="B6" s="19" t="n">
        <v>2372605</v>
      </c>
      <c r="D6" s="2" t="s">
        <v>41</v>
      </c>
    </row>
    <row r="7" customFormat="false" ht="15" hidden="false" customHeight="false" outlineLevel="0" collapsed="false">
      <c r="A7" s="5" t="s">
        <v>42</v>
      </c>
      <c r="B7" s="20" t="n">
        <v>203200000</v>
      </c>
      <c r="D7" s="2" t="s">
        <v>43</v>
      </c>
    </row>
    <row r="8" customFormat="false" ht="15" hidden="false" customHeight="false" outlineLevel="0" collapsed="false">
      <c r="A8" s="5" t="s">
        <v>44</v>
      </c>
      <c r="B8" s="21" t="n">
        <v>0.05</v>
      </c>
      <c r="D8" s="2" t="s">
        <v>45</v>
      </c>
    </row>
    <row r="9" customFormat="false" ht="15" hidden="false" customHeight="false" outlineLevel="0" collapsed="false">
      <c r="A9" s="5" t="s">
        <v>46</v>
      </c>
      <c r="B9" s="20" t="n">
        <v>15707</v>
      </c>
      <c r="D9" s="2" t="s">
        <v>47</v>
      </c>
    </row>
    <row r="10" customFormat="false" ht="15" hidden="false" customHeight="false" outlineLevel="0" collapsed="false">
      <c r="A10" s="17" t="s">
        <v>48</v>
      </c>
      <c r="B10" s="18"/>
      <c r="C10" s="18"/>
      <c r="D10" s="18"/>
    </row>
    <row r="11" customFormat="false" ht="15" hidden="false" customHeight="false" outlineLevel="0" collapsed="false">
      <c r="A11" s="5" t="s">
        <v>49</v>
      </c>
      <c r="B11" s="20" t="n">
        <v>64150</v>
      </c>
      <c r="D11" s="2" t="s">
        <v>50</v>
      </c>
    </row>
    <row r="12" customFormat="false" ht="15" hidden="false" customHeight="false" outlineLevel="0" collapsed="false">
      <c r="A12" s="5" t="s">
        <v>51</v>
      </c>
      <c r="B12" s="22" t="n">
        <v>3</v>
      </c>
      <c r="D12" s="2" t="s">
        <v>52</v>
      </c>
    </row>
    <row r="13" customFormat="false" ht="15" hidden="false" customHeight="false" outlineLevel="0" collapsed="false">
      <c r="A13" s="5" t="s">
        <v>53</v>
      </c>
      <c r="B13" s="20" t="n">
        <v>37400</v>
      </c>
      <c r="D13" s="2" t="s">
        <v>54</v>
      </c>
    </row>
    <row r="14" customFormat="false" ht="15" hidden="false" customHeight="false" outlineLevel="0" collapsed="false">
      <c r="A14" s="5" t="s">
        <v>55</v>
      </c>
      <c r="B14" s="22" t="n">
        <v>2</v>
      </c>
      <c r="D14" s="2" t="s">
        <v>52</v>
      </c>
    </row>
    <row r="15" customFormat="false" ht="15" hidden="false" customHeight="false" outlineLevel="0" collapsed="false">
      <c r="A15" s="5" t="s">
        <v>56</v>
      </c>
      <c r="B15" s="23" t="n">
        <v>60000</v>
      </c>
      <c r="D15" s="2" t="s">
        <v>57</v>
      </c>
    </row>
    <row r="16" customFormat="false" ht="15" hidden="false" customHeight="false" outlineLevel="0" collapsed="false">
      <c r="A16" s="5" t="s">
        <v>58</v>
      </c>
      <c r="B16" s="20" t="n">
        <v>17500</v>
      </c>
      <c r="D16" s="2" t="s">
        <v>59</v>
      </c>
    </row>
    <row r="17" customFormat="false" ht="15" hidden="false" customHeight="false" outlineLevel="0" collapsed="false">
      <c r="A17" s="5" t="s">
        <v>60</v>
      </c>
      <c r="B17" s="23" t="n">
        <v>90000</v>
      </c>
      <c r="D17" s="2" t="s">
        <v>61</v>
      </c>
    </row>
    <row r="18" customFormat="false" ht="15" hidden="false" customHeight="false" outlineLevel="0" collapsed="false">
      <c r="A18" s="5" t="s">
        <v>62</v>
      </c>
      <c r="B18" s="23" t="n">
        <v>300</v>
      </c>
      <c r="D18" s="2" t="s">
        <v>63</v>
      </c>
    </row>
    <row r="19" customFormat="false" ht="15" hidden="false" customHeight="false" outlineLevel="0" collapsed="false">
      <c r="A19" s="5" t="s">
        <v>64</v>
      </c>
      <c r="B19" s="24" t="n">
        <v>0.05</v>
      </c>
      <c r="D19" s="2" t="s">
        <v>65</v>
      </c>
    </row>
    <row r="20" customFormat="false" ht="15" hidden="false" customHeight="false" outlineLevel="0" collapsed="false">
      <c r="A20" s="5" t="s">
        <v>66</v>
      </c>
      <c r="B20" s="24" t="n">
        <v>0.07</v>
      </c>
      <c r="D20" s="2" t="s">
        <v>67</v>
      </c>
    </row>
    <row r="21" customFormat="false" ht="15" hidden="false" customHeight="false" outlineLevel="0" collapsed="false">
      <c r="A21" s="5" t="s">
        <v>68</v>
      </c>
      <c r="B21" s="24" t="n">
        <v>0.12</v>
      </c>
      <c r="D21" s="2" t="s">
        <v>69</v>
      </c>
    </row>
    <row r="22" customFormat="false" ht="15" hidden="false" customHeight="false" outlineLevel="0" collapsed="false">
      <c r="A22" s="17" t="s">
        <v>70</v>
      </c>
      <c r="B22" s="18"/>
      <c r="C22" s="18"/>
      <c r="D22" s="18"/>
    </row>
    <row r="23" customFormat="false" ht="15" hidden="false" customHeight="false" outlineLevel="0" collapsed="false">
      <c r="A23" s="5" t="s">
        <v>71</v>
      </c>
      <c r="B23" s="23" t="n">
        <v>350000</v>
      </c>
      <c r="D23" s="2" t="s">
        <v>72</v>
      </c>
    </row>
    <row r="24" customFormat="false" ht="15" hidden="false" customHeight="false" outlineLevel="0" collapsed="false">
      <c r="A24" s="5" t="s">
        <v>73</v>
      </c>
      <c r="B24" s="23" t="n">
        <v>19900</v>
      </c>
      <c r="D24" s="2" t="s">
        <v>74</v>
      </c>
    </row>
    <row r="25" customFormat="false" ht="15" hidden="false" customHeight="false" outlineLevel="0" collapsed="false">
      <c r="A25" s="5" t="s">
        <v>75</v>
      </c>
      <c r="B25" s="23" t="n">
        <v>1200</v>
      </c>
      <c r="D25" s="2" t="s">
        <v>76</v>
      </c>
    </row>
    <row r="26" customFormat="false" ht="15" hidden="false" customHeight="false" outlineLevel="0" collapsed="false">
      <c r="A26" s="5" t="s">
        <v>77</v>
      </c>
      <c r="B26" s="23" t="n">
        <v>60000</v>
      </c>
      <c r="D26" s="2" t="s">
        <v>78</v>
      </c>
    </row>
    <row r="27" customFormat="false" ht="15" hidden="false" customHeight="false" outlineLevel="0" collapsed="false">
      <c r="A27" s="5" t="s">
        <v>79</v>
      </c>
      <c r="B27" s="24" t="n">
        <v>0.15</v>
      </c>
      <c r="D27" s="2" t="s">
        <v>80</v>
      </c>
    </row>
    <row r="28" customFormat="false" ht="15" hidden="false" customHeight="false" outlineLevel="0" collapsed="false">
      <c r="A28" s="17" t="s">
        <v>81</v>
      </c>
      <c r="B28" s="18"/>
      <c r="C28" s="18"/>
      <c r="D28" s="18"/>
    </row>
    <row r="29" customFormat="false" ht="15" hidden="false" customHeight="false" outlineLevel="0" collapsed="false">
      <c r="A29" s="5" t="s">
        <v>82</v>
      </c>
      <c r="B29" s="22" t="n">
        <v>50</v>
      </c>
      <c r="D29" s="2" t="s">
        <v>83</v>
      </c>
    </row>
    <row r="30" customFormat="false" ht="15" hidden="false" customHeight="false" outlineLevel="0" collapsed="false">
      <c r="A30" s="5" t="s">
        <v>84</v>
      </c>
      <c r="B30" s="24" t="n">
        <v>0.1</v>
      </c>
      <c r="D30" s="2" t="s">
        <v>85</v>
      </c>
    </row>
    <row r="31" customFormat="false" ht="15" hidden="false" customHeight="false" outlineLevel="0" collapsed="false">
      <c r="A31" s="5" t="s">
        <v>86</v>
      </c>
      <c r="B31" s="24" t="n">
        <v>0.2</v>
      </c>
      <c r="D31" s="2" t="s">
        <v>87</v>
      </c>
    </row>
    <row r="32" customFormat="false" ht="15" hidden="false" customHeight="false" outlineLevel="0" collapsed="false">
      <c r="A32" s="5" t="s">
        <v>88</v>
      </c>
      <c r="B32" s="23" t="n">
        <v>800000</v>
      </c>
      <c r="D32" s="2" t="s">
        <v>89</v>
      </c>
    </row>
    <row r="34" customFormat="false" ht="15" hidden="false" customHeight="false" outlineLevel="0" collapsed="false">
      <c r="A34" s="17" t="s">
        <v>90</v>
      </c>
      <c r="B34" s="18"/>
      <c r="C34" s="25" t="s">
        <v>91</v>
      </c>
      <c r="D34" s="25" t="s">
        <v>92</v>
      </c>
      <c r="E34" s="25" t="s">
        <v>93</v>
      </c>
      <c r="F34" s="25" t="s">
        <v>94</v>
      </c>
      <c r="G34" s="25" t="s">
        <v>95</v>
      </c>
    </row>
    <row r="35" customFormat="false" ht="15" hidden="false" customHeight="false" outlineLevel="0" collapsed="false">
      <c r="A35" s="5" t="s">
        <v>96</v>
      </c>
      <c r="C35" s="22" t="n">
        <v>0</v>
      </c>
      <c r="D35" s="22" t="n">
        <v>3</v>
      </c>
      <c r="E35" s="22" t="n">
        <v>8</v>
      </c>
      <c r="F35" s="22" t="n">
        <v>15</v>
      </c>
      <c r="G35" s="22" t="n">
        <v>25</v>
      </c>
    </row>
    <row r="36" customFormat="false" ht="15" hidden="false" customHeight="false" outlineLevel="0" collapsed="false">
      <c r="A36" s="5" t="s">
        <v>97</v>
      </c>
      <c r="C36" s="23" t="n">
        <v>800000</v>
      </c>
      <c r="D36" s="23" t="n">
        <v>3500000</v>
      </c>
      <c r="E36" s="23" t="n">
        <v>6000000</v>
      </c>
      <c r="F36" s="23" t="n">
        <v>10000000</v>
      </c>
      <c r="G36" s="23" t="n">
        <v>16000000</v>
      </c>
    </row>
    <row r="37" customFormat="false" ht="15" hidden="false" customHeight="false" outlineLevel="0" collapsed="false">
      <c r="A37" s="2" t="s">
        <v>98</v>
      </c>
    </row>
    <row r="39" customFormat="false" ht="15" hidden="false" customHeight="false" outlineLevel="0" collapsed="false">
      <c r="A39" s="17" t="s">
        <v>99</v>
      </c>
      <c r="B39" s="18"/>
      <c r="C39" s="18"/>
      <c r="D39" s="18"/>
    </row>
    <row r="40" customFormat="false" ht="15" hidden="false" customHeight="false" outlineLevel="0" collapsed="false">
      <c r="A40" s="5" t="s">
        <v>100</v>
      </c>
      <c r="B40" s="15" t="s">
        <v>101</v>
      </c>
      <c r="C40" s="15" t="s">
        <v>102</v>
      </c>
      <c r="D40" s="2" t="s">
        <v>103</v>
      </c>
    </row>
    <row r="41" customFormat="false" ht="15" hidden="false" customHeight="false" outlineLevel="0" collapsed="false">
      <c r="A41" s="5" t="s">
        <v>11</v>
      </c>
      <c r="B41" s="26" t="n">
        <v>0.5</v>
      </c>
      <c r="C41" s="26" t="n">
        <v>2</v>
      </c>
    </row>
    <row r="42" customFormat="false" ht="15" hidden="false" customHeight="false" outlineLevel="0" collapsed="false">
      <c r="A42" s="5" t="s">
        <v>12</v>
      </c>
      <c r="B42" s="26" t="n">
        <v>1</v>
      </c>
      <c r="C42" s="26" t="n">
        <v>3</v>
      </c>
    </row>
    <row r="43" customFormat="false" ht="15" hidden="false" customHeight="false" outlineLevel="0" collapsed="false">
      <c r="A43" s="5" t="s">
        <v>13</v>
      </c>
      <c r="B43" s="26" t="n">
        <v>1.6</v>
      </c>
      <c r="C43" s="2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106</v>
      </c>
      <c r="B4" s="4"/>
      <c r="C4" s="4"/>
      <c r="D4" s="4"/>
    </row>
    <row r="5" customFormat="false" ht="15" hidden="false" customHeight="false" outlineLevel="0" collapsed="false">
      <c r="A5" s="9"/>
      <c r="B5" s="9" t="s">
        <v>107</v>
      </c>
      <c r="C5" s="9" t="s">
        <v>108</v>
      </c>
      <c r="D5" s="9" t="s">
        <v>109</v>
      </c>
    </row>
    <row r="6" customFormat="false" ht="15" hidden="false" customHeight="false" outlineLevel="0" collapsed="false">
      <c r="A6" s="5" t="s">
        <v>110</v>
      </c>
      <c r="B6" s="5" t="s">
        <v>111</v>
      </c>
      <c r="C6" s="5" t="s">
        <v>112</v>
      </c>
      <c r="D6" s="2" t="s">
        <v>113</v>
      </c>
    </row>
    <row r="7" customFormat="false" ht="15" hidden="false" customHeight="false" outlineLevel="0" collapsed="false">
      <c r="A7" s="5" t="s">
        <v>114</v>
      </c>
      <c r="B7" s="23" t="n">
        <v>3000000</v>
      </c>
      <c r="C7" s="23" t="n">
        <v>5000000</v>
      </c>
    </row>
    <row r="8" customFormat="false" ht="15" hidden="false" customHeight="false" outlineLevel="0" collapsed="false">
      <c r="A8" s="5" t="s">
        <v>115</v>
      </c>
      <c r="B8" s="23" t="n">
        <v>50000000</v>
      </c>
      <c r="C8" s="23" t="n">
        <v>75000000</v>
      </c>
      <c r="D8" s="2" t="s">
        <v>116</v>
      </c>
    </row>
    <row r="9" customFormat="false" ht="15" hidden="false" customHeight="false" outlineLevel="0" collapsed="false">
      <c r="A9" s="5" t="s">
        <v>117</v>
      </c>
      <c r="B9" s="14" t="n">
        <f aca="false">B7/B8</f>
        <v>0.06</v>
      </c>
      <c r="C9" s="14" t="n">
        <f aca="false">C7/C8</f>
        <v>0.0666666666666667</v>
      </c>
      <c r="D9" s="2" t="s">
        <v>118</v>
      </c>
    </row>
    <row r="10" customFormat="false" ht="15" hidden="false" customHeight="false" outlineLevel="0" collapsed="false">
      <c r="A10" s="5" t="s">
        <v>6</v>
      </c>
      <c r="B10" s="7" t="n">
        <f aca="false">B9*(1-C9)+C9</f>
        <v>0.122666666666667</v>
      </c>
      <c r="D10" s="2" t="s">
        <v>119</v>
      </c>
    </row>
    <row r="11" customFormat="false" ht="15" hidden="false" customHeight="false" outlineLevel="0" collapsed="false">
      <c r="A11" s="5" t="s">
        <v>120</v>
      </c>
      <c r="B11" s="7" t="n">
        <f aca="false">B10*(1-Assumptions!$B$31)</f>
        <v>0.0981333333333334</v>
      </c>
    </row>
    <row r="13" customFormat="false" ht="15" hidden="false" customHeight="false" outlineLevel="0" collapsed="false">
      <c r="A13" s="3" t="s">
        <v>121</v>
      </c>
      <c r="B13" s="4"/>
      <c r="C13" s="4"/>
      <c r="D13" s="4"/>
    </row>
    <row r="14" customFormat="false" ht="15" hidden="false" customHeight="false" outlineLevel="0" collapsed="false">
      <c r="A14" s="5" t="s">
        <v>7</v>
      </c>
      <c r="B14" s="23" t="n">
        <v>750</v>
      </c>
    </row>
    <row r="15" customFormat="false" ht="15" hidden="false" customHeight="false" outlineLevel="0" collapsed="false">
      <c r="A15" s="5" t="s">
        <v>8</v>
      </c>
      <c r="B15" s="23" t="n">
        <v>12500</v>
      </c>
    </row>
    <row r="16" customFormat="false" ht="15" hidden="false" customHeight="false" outlineLevel="0" collapsed="false">
      <c r="A16" s="5" t="s">
        <v>122</v>
      </c>
      <c r="B16" s="26" t="n">
        <v>1</v>
      </c>
      <c r="D16" s="2" t="s">
        <v>123</v>
      </c>
    </row>
    <row r="17" customFormat="false" ht="15" hidden="false" customHeight="false" outlineLevel="0" collapsed="false">
      <c r="A17" s="5" t="s">
        <v>124</v>
      </c>
      <c r="B17" s="24" t="n">
        <v>0.5</v>
      </c>
      <c r="D17" s="2" t="s">
        <v>125</v>
      </c>
    </row>
    <row r="18" customFormat="false" ht="15" hidden="false" customHeight="false" outlineLevel="0" collapsed="false">
      <c r="A18" s="5" t="s">
        <v>126</v>
      </c>
      <c r="B18" s="24" t="n">
        <v>1</v>
      </c>
    </row>
    <row r="20" customFormat="false" ht="15" hidden="false" customHeight="false" outlineLevel="0" collapsed="false">
      <c r="A20" s="3" t="s">
        <v>127</v>
      </c>
      <c r="B20" s="4"/>
      <c r="C20" s="4"/>
      <c r="D20" s="4"/>
    </row>
    <row r="21" customFormat="false" ht="30" hidden="false" customHeight="true" outlineLevel="0" collapsed="false">
      <c r="A21" s="27" t="s">
        <v>128</v>
      </c>
      <c r="B21" s="28" t="s">
        <v>129</v>
      </c>
      <c r="C21" s="28"/>
      <c r="D21" s="28"/>
    </row>
    <row r="22" customFormat="false" ht="45" hidden="false" customHeight="true" outlineLevel="0" collapsed="false">
      <c r="A22" s="27" t="s">
        <v>130</v>
      </c>
      <c r="B22" s="28" t="s">
        <v>131</v>
      </c>
      <c r="C22" s="28"/>
      <c r="D22" s="28"/>
    </row>
    <row r="23" customFormat="false" ht="30" hidden="false" customHeight="true" outlineLevel="0" collapsed="false">
      <c r="A23" s="27" t="s">
        <v>132</v>
      </c>
      <c r="B23" s="28" t="s">
        <v>133</v>
      </c>
      <c r="C23" s="28"/>
      <c r="D23" s="28"/>
    </row>
    <row r="24" customFormat="false" ht="30" hidden="false" customHeight="true" outlineLevel="0" collapsed="false">
      <c r="A24" s="27" t="s">
        <v>134</v>
      </c>
      <c r="B24" s="28" t="s">
        <v>135</v>
      </c>
      <c r="C24" s="28"/>
      <c r="D24" s="28"/>
    </row>
  </sheetData>
  <mergeCells count="4">
    <mergeCell ref="B21:D21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16.15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3" t="s">
        <v>138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29"/>
      <c r="B5" s="29"/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</row>
    <row r="6" customFormat="false" ht="15" hidden="false" customHeight="false" outlineLevel="0" collapsed="false">
      <c r="A6" s="5" t="s">
        <v>139</v>
      </c>
      <c r="B6" s="30" t="n">
        <f aca="false">Assumptions!$B$41</f>
        <v>0.5</v>
      </c>
      <c r="C6" s="11" t="n">
        <f aca="false">ROUND(Assumptions!C$35*Assumptions!$B$41,0)</f>
        <v>0</v>
      </c>
      <c r="D6" s="11" t="n">
        <f aca="false">ROUND(Assumptions!D$35*Assumptions!$B$41,0)</f>
        <v>2</v>
      </c>
      <c r="E6" s="11" t="n">
        <f aca="false">ROUND(Assumptions!E$35*Assumptions!$B$41,0)</f>
        <v>4</v>
      </c>
      <c r="F6" s="11" t="n">
        <f aca="false">ROUND(Assumptions!F$35*Assumptions!$B$41,0)</f>
        <v>8</v>
      </c>
      <c r="G6" s="11" t="n">
        <f aca="false">ROUND(Assumptions!G$35*Assumptions!$B$41,0)</f>
        <v>13</v>
      </c>
    </row>
    <row r="7" customFormat="false" ht="15" hidden="false" customHeight="false" outlineLevel="0" collapsed="false">
      <c r="A7" s="5" t="s">
        <v>140</v>
      </c>
      <c r="C7" s="31" t="n">
        <f aca="false">C6</f>
        <v>0</v>
      </c>
      <c r="D7" s="31" t="n">
        <f aca="false">C7*(1-Assumptions!$B$30)+D6</f>
        <v>2</v>
      </c>
      <c r="E7" s="31" t="n">
        <f aca="false">D7*(1-Assumptions!$B$30)+E6</f>
        <v>5.8</v>
      </c>
      <c r="F7" s="31" t="n">
        <f aca="false">E7*(1-Assumptions!$B$30)+F6</f>
        <v>13.22</v>
      </c>
      <c r="G7" s="31" t="n">
        <f aca="false">F7*(1-Assumptions!$B$30)+G6</f>
        <v>24.898</v>
      </c>
    </row>
    <row r="8" customFormat="false" ht="15" hidden="false" customHeight="false" outlineLevel="0" collapsed="false">
      <c r="A8" s="5" t="s">
        <v>141</v>
      </c>
      <c r="C8" s="12" t="n">
        <f aca="false">0</f>
        <v>0</v>
      </c>
      <c r="D8" s="12" t="n">
        <f aca="false">ROUND(D7*Assumptions!$B$29,0)</f>
        <v>100</v>
      </c>
      <c r="E8" s="12" t="n">
        <f aca="false">ROUND(E7*Assumptions!$B$29,0)</f>
        <v>290</v>
      </c>
      <c r="F8" s="12" t="n">
        <f aca="false">ROUND(F7*Assumptions!$B$29,0)</f>
        <v>661</v>
      </c>
      <c r="G8" s="12" t="n">
        <f aca="false">ROUND(G7*Assumptions!$B$29,0)</f>
        <v>1245</v>
      </c>
    </row>
    <row r="9" customFormat="false" ht="15" hidden="false" customHeight="false" outlineLevel="0" collapsed="false">
      <c r="A9" s="5" t="s">
        <v>142</v>
      </c>
      <c r="C9" s="12" t="n">
        <f aca="false">C8</f>
        <v>0</v>
      </c>
      <c r="D9" s="12" t="n">
        <f aca="false">C9+D8</f>
        <v>100</v>
      </c>
      <c r="E9" s="12" t="n">
        <f aca="false">D9+E8</f>
        <v>390</v>
      </c>
      <c r="F9" s="12" t="n">
        <f aca="false">E9+F8</f>
        <v>1051</v>
      </c>
      <c r="G9" s="12" t="n">
        <f aca="false">F9+G8</f>
        <v>2296</v>
      </c>
    </row>
    <row r="10" customFormat="false" ht="15" hidden="false" customHeight="false" outlineLevel="0" collapsed="false">
      <c r="A10" s="32" t="s">
        <v>143</v>
      </c>
    </row>
    <row r="11" customFormat="false" ht="15" hidden="false" customHeight="false" outlineLevel="0" collapsed="false">
      <c r="A11" s="5" t="s">
        <v>144</v>
      </c>
      <c r="C11" s="13" t="n">
        <f aca="false">C7*Assumptions!$B$23</f>
        <v>0</v>
      </c>
      <c r="D11" s="13" t="n">
        <f aca="false">D7*Assumptions!$B$23</f>
        <v>700000</v>
      </c>
      <c r="E11" s="13" t="n">
        <f aca="false">E7*Assumptions!$B$23</f>
        <v>2030000</v>
      </c>
      <c r="F11" s="13" t="n">
        <f aca="false">F7*Assumptions!$B$23</f>
        <v>4627000</v>
      </c>
      <c r="G11" s="13" t="n">
        <f aca="false">G7*Assumptions!$B$23</f>
        <v>8714300</v>
      </c>
    </row>
    <row r="12" customFormat="false" ht="15" hidden="false" customHeight="false" outlineLevel="0" collapsed="false">
      <c r="A12" s="5" t="s">
        <v>145</v>
      </c>
      <c r="C12" s="13" t="n">
        <f aca="false">C8*Assumptions!$B$24</f>
        <v>0</v>
      </c>
      <c r="D12" s="13" t="n">
        <f aca="false">D8*Assumptions!$B$24</f>
        <v>1990000</v>
      </c>
      <c r="E12" s="13" t="n">
        <f aca="false">E8*Assumptions!$B$24</f>
        <v>5771000</v>
      </c>
      <c r="F12" s="13" t="n">
        <f aca="false">F8*Assumptions!$B$24</f>
        <v>13153900</v>
      </c>
      <c r="G12" s="13" t="n">
        <f aca="false">G8*Assumptions!$B$24</f>
        <v>24775500</v>
      </c>
    </row>
    <row r="13" customFormat="false" ht="15" hidden="false" customHeight="false" outlineLevel="0" collapsed="false">
      <c r="A13" s="5" t="s">
        <v>146</v>
      </c>
      <c r="C13" s="13" t="n">
        <f aca="false">C9*Assumptions!$B$25</f>
        <v>0</v>
      </c>
      <c r="D13" s="13" t="n">
        <f aca="false">D9*Assumptions!$B$25</f>
        <v>120000</v>
      </c>
      <c r="E13" s="13" t="n">
        <f aca="false">E9*Assumptions!$B$25</f>
        <v>468000</v>
      </c>
      <c r="F13" s="13" t="n">
        <f aca="false">F9*Assumptions!$B$25</f>
        <v>1261200</v>
      </c>
      <c r="G13" s="13" t="n">
        <f aca="false">G9*Assumptions!$B$25</f>
        <v>2755200</v>
      </c>
    </row>
    <row r="14" customFormat="false" ht="15" hidden="false" customHeight="false" outlineLevel="0" collapsed="false">
      <c r="A14" s="5" t="s">
        <v>147</v>
      </c>
      <c r="C14" s="13" t="n">
        <f aca="false">C7*Assumptions!$B$26</f>
        <v>0</v>
      </c>
      <c r="D14" s="13" t="n">
        <f aca="false">D7*Assumptions!$B$26</f>
        <v>120000</v>
      </c>
      <c r="E14" s="13" t="n">
        <f aca="false">E7*Assumptions!$B$26</f>
        <v>348000</v>
      </c>
      <c r="F14" s="13" t="n">
        <f aca="false">F7*Assumptions!$B$26</f>
        <v>793200</v>
      </c>
      <c r="G14" s="13" t="n">
        <f aca="false">G7*Assumptions!$B$26</f>
        <v>1493880</v>
      </c>
    </row>
    <row r="15" customFormat="false" ht="15" hidden="false" customHeight="false" outlineLevel="0" collapsed="false">
      <c r="A15" s="9" t="s">
        <v>148</v>
      </c>
      <c r="B15" s="33"/>
      <c r="C15" s="34" t="n">
        <f aca="false">SUM(C11:C14)</f>
        <v>0</v>
      </c>
      <c r="D15" s="34" t="n">
        <f aca="false">SUM(D11:D14)</f>
        <v>2930000</v>
      </c>
      <c r="E15" s="34" t="n">
        <f aca="false">SUM(E11:E14)</f>
        <v>8617000</v>
      </c>
      <c r="F15" s="34" t="n">
        <f aca="false">SUM(F11:F14)</f>
        <v>19835300</v>
      </c>
      <c r="G15" s="34" t="n">
        <f aca="false">SUM(G11:G14)</f>
        <v>37738880</v>
      </c>
    </row>
    <row r="16" customFormat="false" ht="15" hidden="false" customHeight="false" outlineLevel="0" collapsed="false">
      <c r="A16" s="32" t="s">
        <v>149</v>
      </c>
    </row>
    <row r="17" customFormat="false" ht="15" hidden="false" customHeight="false" outlineLevel="0" collapsed="false">
      <c r="A17" s="5" t="s">
        <v>150</v>
      </c>
      <c r="C17" s="13" t="n">
        <f aca="false">C7*Assumptions!$B$17</f>
        <v>0</v>
      </c>
      <c r="D17" s="13" t="n">
        <f aca="false">D7*Assumptions!$B$17</f>
        <v>180000</v>
      </c>
      <c r="E17" s="13" t="n">
        <f aca="false">E7*Assumptions!$B$17</f>
        <v>522000</v>
      </c>
      <c r="F17" s="13" t="n">
        <f aca="false">F7*Assumptions!$B$17</f>
        <v>1189800</v>
      </c>
      <c r="G17" s="13" t="n">
        <f aca="false">G7*Assumptions!$B$17</f>
        <v>2240820</v>
      </c>
    </row>
    <row r="18" customFormat="false" ht="15" hidden="false" customHeight="false" outlineLevel="0" collapsed="false">
      <c r="A18" s="5" t="s">
        <v>151</v>
      </c>
      <c r="C18" s="13" t="n">
        <f aca="false">C8*Assumptions!$B$16*(1-Assumptions!$B$21)^0</f>
        <v>0</v>
      </c>
      <c r="D18" s="13" t="n">
        <f aca="false">D8*Assumptions!$B$16*(1-Assumptions!$B$21)^1</f>
        <v>1540000</v>
      </c>
      <c r="E18" s="13" t="n">
        <f aca="false">E8*Assumptions!$B$16*(1-Assumptions!$B$21)^2</f>
        <v>3930080</v>
      </c>
      <c r="F18" s="13" t="n">
        <f aca="false">F8*Assumptions!$B$16*(1-Assumptions!$B$21)^3</f>
        <v>7882927.36</v>
      </c>
      <c r="G18" s="13" t="n">
        <f aca="false">G8*Assumptions!$B$16*(1-Assumptions!$B$21)^4</f>
        <v>13065862.656</v>
      </c>
    </row>
    <row r="19" customFormat="false" ht="15" hidden="false" customHeight="false" outlineLevel="0" collapsed="false">
      <c r="A19" s="5" t="s">
        <v>152</v>
      </c>
      <c r="C19" s="13" t="n">
        <f aca="false">C9*(Assumptions!$B$18+Assumptions!$B$19*Assumptions!$B$16*(1-Assumptions!$B$21)^0)</f>
        <v>0</v>
      </c>
      <c r="D19" s="13" t="n">
        <f aca="false">D9*(Assumptions!$B$18+Assumptions!$B$19*Assumptions!$B$16*(1-Assumptions!$B$21)^1)</f>
        <v>107000</v>
      </c>
      <c r="E19" s="13" t="n">
        <f aca="false">E9*(Assumptions!$B$18+Assumptions!$B$19*Assumptions!$B$16*(1-Assumptions!$B$21)^2)</f>
        <v>381264</v>
      </c>
      <c r="F19" s="13" t="n">
        <f aca="false">F9*(Assumptions!$B$18+Assumptions!$B$19*Assumptions!$B$16*(1-Assumptions!$B$21)^3)</f>
        <v>941998.688</v>
      </c>
      <c r="G19" s="13" t="n">
        <f aca="false">G9*(Assumptions!$B$18+Assumptions!$B$19*Assumptions!$B$16*(1-Assumptions!$B$21)^4)</f>
        <v>1893587.97824</v>
      </c>
    </row>
    <row r="20" customFormat="false" ht="15" hidden="false" customHeight="false" outlineLevel="0" collapsed="false">
      <c r="A20" s="5" t="s">
        <v>153</v>
      </c>
      <c r="C20" s="13" t="n">
        <f aca="false">C14*Assumptions!$B$27</f>
        <v>0</v>
      </c>
      <c r="D20" s="13" t="n">
        <f aca="false">D14*Assumptions!$B$27</f>
        <v>18000</v>
      </c>
      <c r="E20" s="13" t="n">
        <f aca="false">E14*Assumptions!$B$27</f>
        <v>52200</v>
      </c>
      <c r="F20" s="13" t="n">
        <f aca="false">F14*Assumptions!$B$27</f>
        <v>118980</v>
      </c>
      <c r="G20" s="13" t="n">
        <f aca="false">G14*Assumptions!$B$27</f>
        <v>224082</v>
      </c>
    </row>
    <row r="21" customFormat="false" ht="15" hidden="false" customHeight="false" outlineLevel="0" collapsed="false">
      <c r="A21" s="15" t="s">
        <v>154</v>
      </c>
      <c r="C21" s="6" t="n">
        <f aca="false">C15-SUM(C17:C20)</f>
        <v>0</v>
      </c>
      <c r="D21" s="6" t="n">
        <f aca="false">D15-SUM(D17:D20)</f>
        <v>1085000</v>
      </c>
      <c r="E21" s="6" t="n">
        <f aca="false">E15-SUM(E17:E20)</f>
        <v>3731456</v>
      </c>
      <c r="F21" s="6" t="n">
        <f aca="false">F15-SUM(F17:F20)</f>
        <v>9701593.952</v>
      </c>
      <c r="G21" s="6" t="n">
        <f aca="false">G15-SUM(G17:G20)</f>
        <v>20314527.36576</v>
      </c>
    </row>
    <row r="22" customFormat="false" ht="15" hidden="false" customHeight="false" outlineLevel="0" collapsed="false">
      <c r="A22" s="5" t="s">
        <v>155</v>
      </c>
      <c r="C22" s="14" t="n">
        <f aca="false">IF(C15=0,0,C21/C15)</f>
        <v>0</v>
      </c>
      <c r="D22" s="14" t="n">
        <f aca="false">IF(D15=0,0,D21/D15)</f>
        <v>0.370307167235495</v>
      </c>
      <c r="E22" s="14" t="n">
        <f aca="false">IF(E15=0,0,E21/E15)</f>
        <v>0.433034234652431</v>
      </c>
      <c r="F22" s="14" t="n">
        <f aca="false">IF(F15=0,0,F21/F15)</f>
        <v>0.489107497844752</v>
      </c>
      <c r="G22" s="14" t="n">
        <f aca="false">IF(G15=0,0,G21/G15)</f>
        <v>0.538291739600115</v>
      </c>
    </row>
    <row r="23" customFormat="false" ht="15" hidden="false" customHeight="false" outlineLevel="0" collapsed="false">
      <c r="A23" s="5" t="s">
        <v>156</v>
      </c>
      <c r="C23" s="13" t="n">
        <f aca="false">Assumptions!C$36</f>
        <v>800000</v>
      </c>
      <c r="D23" s="13" t="n">
        <f aca="false">Assumptions!D$36*(0.8+0.2*Assumptions!$B$41)</f>
        <v>3150000</v>
      </c>
      <c r="E23" s="13" t="n">
        <f aca="false">Assumptions!E$36*(0.8+0.2*Assumptions!$B$41)</f>
        <v>5400000</v>
      </c>
      <c r="F23" s="13" t="n">
        <f aca="false">Assumptions!F$36*(0.8+0.2*Assumptions!$B$41)</f>
        <v>9000000</v>
      </c>
      <c r="G23" s="13" t="n">
        <f aca="false">Assumptions!G$36*(0.8+0.2*Assumptions!$B$41)</f>
        <v>14400000</v>
      </c>
    </row>
    <row r="24" customFormat="false" ht="15" hidden="false" customHeight="false" outlineLevel="0" collapsed="false">
      <c r="A24" s="9" t="s">
        <v>157</v>
      </c>
      <c r="B24" s="33"/>
      <c r="C24" s="34" t="n">
        <f aca="false">C21-C23</f>
        <v>-800000</v>
      </c>
      <c r="D24" s="34" t="n">
        <f aca="false">D21-D23</f>
        <v>-2065000</v>
      </c>
      <c r="E24" s="34" t="n">
        <f aca="false">E21-E23</f>
        <v>-1668544</v>
      </c>
      <c r="F24" s="34" t="n">
        <f aca="false">F21-F23</f>
        <v>701593.952000001</v>
      </c>
      <c r="G24" s="34" t="n">
        <f aca="false">G21-G23</f>
        <v>5914527.36576</v>
      </c>
    </row>
    <row r="25" customFormat="false" ht="15" hidden="false" customHeight="false" outlineLevel="0" collapsed="false">
      <c r="A25" s="5" t="s">
        <v>158</v>
      </c>
      <c r="C25" s="13" t="n">
        <f aca="false">C6*(Assumptions!$B$11*Assumptions!$B$12+Assumptions!$B$13*Assumptions!$B$14+Assumptions!$B$15)*(1-Assumptions!$B$20)^0</f>
        <v>0</v>
      </c>
      <c r="D25" s="13" t="n">
        <f aca="false">D6*(Assumptions!$B$11*Assumptions!$B$12+Assumptions!$B$13*Assumptions!$B$14+Assumptions!$B$15)*(1-Assumptions!$B$20)^1</f>
        <v>608685</v>
      </c>
      <c r="E25" s="13" t="n">
        <f aca="false">E6*(Assumptions!$B$11*Assumptions!$B$12+Assumptions!$B$13*Assumptions!$B$14+Assumptions!$B$15)*(1-Assumptions!$B$20)^2</f>
        <v>1132154.1</v>
      </c>
      <c r="F25" s="13" t="n">
        <f aca="false">F6*(Assumptions!$B$11*Assumptions!$B$12+Assumptions!$B$13*Assumptions!$B$14+Assumptions!$B$15)*(1-Assumptions!$B$20)^3</f>
        <v>2105806.626</v>
      </c>
      <c r="G25" s="13" t="n">
        <f aca="false">G6*(Assumptions!$B$11*Assumptions!$B$12+Assumptions!$B$13*Assumptions!$B$14+Assumptions!$B$15)*(1-Assumptions!$B$20)^4</f>
        <v>3182400.2635425</v>
      </c>
    </row>
    <row r="26" customFormat="false" ht="15" hidden="false" customHeight="false" outlineLevel="0" collapsed="false">
      <c r="A26" s="32" t="s">
        <v>159</v>
      </c>
    </row>
    <row r="27" customFormat="false" ht="15" hidden="false" customHeight="false" outlineLevel="0" collapsed="false">
      <c r="A27" s="5" t="s">
        <v>160</v>
      </c>
      <c r="C27" s="13" t="n">
        <f aca="false">0</f>
        <v>0</v>
      </c>
      <c r="D27" s="13" t="n">
        <f aca="false">'Deal Terms'!$B$7</f>
        <v>3000000</v>
      </c>
      <c r="E27" s="13" t="n">
        <f aca="false">'Deal Terms'!$B$7+'Deal Terms'!$C$7</f>
        <v>8000000</v>
      </c>
      <c r="F27" s="13" t="n">
        <f aca="false">'Deal Terms'!$B$7+'Deal Terms'!$C$7</f>
        <v>8000000</v>
      </c>
      <c r="G27" s="13" t="n">
        <f aca="false">'Deal Terms'!$B$7+'Deal Terms'!$C$7</f>
        <v>8000000</v>
      </c>
    </row>
    <row r="28" customFormat="false" ht="15" hidden="false" customHeight="false" outlineLevel="0" collapsed="false">
      <c r="A28" s="5" t="s">
        <v>161</v>
      </c>
      <c r="C28" s="13" t="n">
        <f aca="false">(C8*'Deal Terms'!$B$14+C7*'Deal Terms'!$B$15)*0</f>
        <v>0</v>
      </c>
      <c r="D28" s="13" t="n">
        <f aca="false">(D8*'Deal Terms'!$B$14+D7*'Deal Terms'!$B$15)*'Deal Terms'!$B$17</f>
        <v>50000</v>
      </c>
      <c r="E28" s="13" t="n">
        <f aca="false">(E8*'Deal Terms'!$B$14+E7*'Deal Terms'!$B$15)*'Deal Terms'!$B$18</f>
        <v>290000</v>
      </c>
      <c r="F28" s="13" t="n">
        <f aca="false">(F8*'Deal Terms'!$B$14+F7*'Deal Terms'!$B$15)*'Deal Terms'!$B$18</f>
        <v>661000</v>
      </c>
      <c r="G28" s="13" t="n">
        <f aca="false">(G8*'Deal Terms'!$B$14+G7*'Deal Terms'!$B$15)*'Deal Terms'!$B$18</f>
        <v>1244975</v>
      </c>
    </row>
    <row r="29" customFormat="false" ht="15" hidden="false" customHeight="false" outlineLevel="0" collapsed="false">
      <c r="A29" s="5" t="s">
        <v>162</v>
      </c>
      <c r="C29" s="13" t="n">
        <f aca="false">MAX(0,MIN(C28,'Deal Terms'!$B$16*C27-0))</f>
        <v>0</v>
      </c>
      <c r="D29" s="13" t="n">
        <f aca="false">MAX(0,MIN(D28,'Deal Terms'!$B$16*D27-C30))</f>
        <v>50000</v>
      </c>
      <c r="E29" s="13" t="n">
        <f aca="false">MAX(0,MIN(E28,'Deal Terms'!$B$16*E27-D30))</f>
        <v>290000</v>
      </c>
      <c r="F29" s="13" t="n">
        <f aca="false">MAX(0,MIN(F28,'Deal Terms'!$B$16*F27-E30))</f>
        <v>661000</v>
      </c>
      <c r="G29" s="13" t="n">
        <f aca="false">MAX(0,MIN(G28,'Deal Terms'!$B$16*G27-F30))</f>
        <v>1244975</v>
      </c>
    </row>
    <row r="30" customFormat="false" ht="15" hidden="false" customHeight="false" outlineLevel="0" collapsed="false">
      <c r="A30" s="5" t="s">
        <v>163</v>
      </c>
      <c r="C30" s="13" t="n">
        <f aca="false">0+C29</f>
        <v>0</v>
      </c>
      <c r="D30" s="13" t="n">
        <f aca="false">C30+D29</f>
        <v>50000</v>
      </c>
      <c r="E30" s="13" t="n">
        <f aca="false">D30+E29</f>
        <v>340000</v>
      </c>
      <c r="F30" s="13" t="n">
        <f aca="false">E30+F29</f>
        <v>1001000</v>
      </c>
      <c r="G30" s="13" t="n">
        <f aca="false">F30+G29</f>
        <v>2245975</v>
      </c>
    </row>
    <row r="31" customFormat="false" ht="15" hidden="false" customHeight="false" outlineLevel="0" collapsed="false">
      <c r="A31" s="5" t="s">
        <v>164</v>
      </c>
      <c r="C31" s="13" t="n">
        <f aca="false">'Deal Terms'!$B$7</f>
        <v>3000000</v>
      </c>
      <c r="D31" s="13" t="n">
        <f aca="false">'Deal Terms'!$C$7</f>
        <v>5000000</v>
      </c>
      <c r="E31" s="13" t="n">
        <f aca="false">0</f>
        <v>0</v>
      </c>
      <c r="F31" s="13" t="n">
        <f aca="false">0</f>
        <v>0</v>
      </c>
      <c r="G31" s="13" t="n">
        <f aca="false">0</f>
        <v>0</v>
      </c>
    </row>
    <row r="32" customFormat="false" ht="15" hidden="false" customHeight="false" outlineLevel="0" collapsed="false">
      <c r="A32" s="32" t="s">
        <v>165</v>
      </c>
    </row>
    <row r="33" customFormat="false" ht="15" hidden="false" customHeight="false" outlineLevel="0" collapsed="false">
      <c r="A33" s="5" t="s">
        <v>88</v>
      </c>
      <c r="C33" s="13" t="n">
        <f aca="false">Assumptions!$B$32</f>
        <v>800000</v>
      </c>
      <c r="D33" s="13" t="n">
        <f aca="false">0</f>
        <v>0</v>
      </c>
      <c r="E33" s="13" t="n">
        <f aca="false">0</f>
        <v>0</v>
      </c>
      <c r="F33" s="13" t="n">
        <f aca="false">0</f>
        <v>0</v>
      </c>
      <c r="G33" s="13" t="n">
        <f aca="false">0</f>
        <v>0</v>
      </c>
    </row>
    <row r="34" customFormat="false" ht="15" hidden="false" customHeight="false" outlineLevel="0" collapsed="false">
      <c r="A34" s="5" t="s">
        <v>166</v>
      </c>
      <c r="C34" s="13" t="n">
        <f aca="false">0+C33+C24-C25-C29</f>
        <v>0</v>
      </c>
      <c r="D34" s="13" t="n">
        <f aca="false">C34+D33+D24-D25-D29</f>
        <v>-2723685</v>
      </c>
      <c r="E34" s="13" t="n">
        <f aca="false">D34+E33+E24-E25-E29</f>
        <v>-5814383.1</v>
      </c>
      <c r="F34" s="13" t="n">
        <f aca="false">E34+F33+F24-F25-F29</f>
        <v>-7879595.774</v>
      </c>
      <c r="G34" s="13" t="n">
        <f aca="false">F34+G33+G24-G25-G29</f>
        <v>-6392443.6717825</v>
      </c>
    </row>
    <row r="35" customFormat="false" ht="15" hidden="false" customHeight="false" outlineLevel="0" collapsed="false">
      <c r="A35" s="5" t="s">
        <v>167</v>
      </c>
      <c r="C35" s="13" t="n">
        <f aca="false">0+C33+C24-C25-C29</f>
        <v>0</v>
      </c>
      <c r="D35" s="13" t="n">
        <f aca="false">C37+D33+D24-D25-D29</f>
        <v>276315</v>
      </c>
      <c r="E35" s="13" t="n">
        <f aca="false">D37+E33+E24-E25-E29</f>
        <v>2185616.9</v>
      </c>
      <c r="F35" s="13" t="n">
        <f aca="false">E37+F33+F24-F25-F29</f>
        <v>120404.226000002</v>
      </c>
      <c r="G35" s="13" t="n">
        <f aca="false">F37+G33+G24-G25-G29</f>
        <v>1607556.32821751</v>
      </c>
    </row>
    <row r="36" customFormat="false" ht="15" hidden="false" customHeight="false" outlineLevel="0" collapsed="false">
      <c r="A36" s="5" t="s">
        <v>168</v>
      </c>
      <c r="C36" s="13" t="n">
        <f aca="false">MAX(0,-C35)</f>
        <v>-0</v>
      </c>
      <c r="D36" s="13" t="n">
        <f aca="false">MAX(0,-D35)</f>
        <v>0</v>
      </c>
      <c r="E36" s="13" t="n">
        <f aca="false">MAX(0,-E35)</f>
        <v>0</v>
      </c>
      <c r="F36" s="13" t="n">
        <f aca="false">MAX(0,-F35)</f>
        <v>0</v>
      </c>
      <c r="G36" s="13" t="n">
        <f aca="false">MAX(0,-G35)</f>
        <v>0</v>
      </c>
    </row>
    <row r="37" customFormat="false" ht="15" hidden="false" customHeight="false" outlineLevel="0" collapsed="false">
      <c r="A37" s="9" t="s">
        <v>169</v>
      </c>
      <c r="B37" s="33"/>
      <c r="C37" s="34" t="n">
        <f aca="false">C35+C31+C36</f>
        <v>3000000</v>
      </c>
      <c r="D37" s="34" t="n">
        <f aca="false">D35+D31+D36</f>
        <v>5276315</v>
      </c>
      <c r="E37" s="34" t="n">
        <f aca="false">E35+E31+E36</f>
        <v>2185616.9</v>
      </c>
      <c r="F37" s="34" t="n">
        <f aca="false">F35+F31+F36</f>
        <v>120404.226000002</v>
      </c>
      <c r="G37" s="34" t="n">
        <f aca="false">G35+G31+G36</f>
        <v>1607556.32821751</v>
      </c>
    </row>
    <row r="38" customFormat="false" ht="15" hidden="false" customHeight="false" outlineLevel="0" collapsed="false">
      <c r="A38" s="32" t="s">
        <v>170</v>
      </c>
    </row>
    <row r="39" customFormat="false" ht="15" hidden="false" customHeight="false" outlineLevel="0" collapsed="false">
      <c r="A39" s="5" t="s">
        <v>171</v>
      </c>
      <c r="C39" s="13" t="n">
        <f aca="false">0+C36</f>
        <v>0</v>
      </c>
      <c r="D39" s="13" t="n">
        <f aca="false">C39+D36</f>
        <v>0</v>
      </c>
      <c r="E39" s="13" t="n">
        <f aca="false">D39+E36</f>
        <v>0</v>
      </c>
      <c r="F39" s="13" t="n">
        <f aca="false">E39+F36</f>
        <v>0</v>
      </c>
      <c r="G39" s="13" t="n">
        <f aca="false">F39+G36</f>
        <v>0</v>
      </c>
    </row>
    <row r="40" customFormat="false" ht="15" hidden="false" customHeight="false" outlineLevel="0" collapsed="false">
      <c r="A40" s="5" t="s">
        <v>22</v>
      </c>
      <c r="C40" s="14" t="n">
        <f aca="false">'Deal Terms'!$B$11*(1-C39/('Deal Terms'!$C$8+C39))</f>
        <v>0.0981333333333334</v>
      </c>
      <c r="D40" s="14" t="n">
        <f aca="false">'Deal Terms'!$B$11*(1-D39/('Deal Terms'!$C$8+D39))</f>
        <v>0.0981333333333334</v>
      </c>
      <c r="E40" s="14" t="n">
        <f aca="false">'Deal Terms'!$B$11*(1-E39/('Deal Terms'!$C$8+E39))</f>
        <v>0.0981333333333334</v>
      </c>
      <c r="F40" s="14" t="n">
        <f aca="false">'Deal Terms'!$B$11*(1-F39/('Deal Terms'!$C$8+F39))</f>
        <v>0.0981333333333334</v>
      </c>
      <c r="G40" s="14" t="n">
        <f aca="false">'Deal Terms'!$B$11*(1-G39/('Deal Terms'!$C$8+G39))</f>
        <v>0.0981333333333334</v>
      </c>
    </row>
    <row r="42" customFormat="false" ht="15" hidden="false" customHeight="false" outlineLevel="0" collapsed="false">
      <c r="A42" s="3" t="s">
        <v>172</v>
      </c>
      <c r="B42" s="4"/>
      <c r="C42" s="4"/>
      <c r="D42" s="4"/>
      <c r="E42" s="4"/>
      <c r="F42" s="4"/>
      <c r="G42" s="4"/>
    </row>
    <row r="43" customFormat="false" ht="15" hidden="false" customHeight="false" outlineLevel="0" collapsed="false">
      <c r="A43" s="29"/>
      <c r="B43" s="29"/>
      <c r="C43" s="10" t="s">
        <v>91</v>
      </c>
      <c r="D43" s="10" t="s">
        <v>92</v>
      </c>
      <c r="E43" s="10" t="s">
        <v>93</v>
      </c>
      <c r="F43" s="10" t="s">
        <v>94</v>
      </c>
      <c r="G43" s="10" t="s">
        <v>95</v>
      </c>
    </row>
    <row r="44" customFormat="false" ht="15" hidden="false" customHeight="false" outlineLevel="0" collapsed="false">
      <c r="A44" s="5" t="s">
        <v>139</v>
      </c>
      <c r="B44" s="30" t="n">
        <f aca="false">Assumptions!$B$42</f>
        <v>1</v>
      </c>
      <c r="C44" s="11" t="n">
        <f aca="false">ROUND(Assumptions!C$35*Assumptions!$B$42,0)</f>
        <v>0</v>
      </c>
      <c r="D44" s="11" t="n">
        <f aca="false">ROUND(Assumptions!D$35*Assumptions!$B$42,0)</f>
        <v>3</v>
      </c>
      <c r="E44" s="11" t="n">
        <f aca="false">ROUND(Assumptions!E$35*Assumptions!$B$42,0)</f>
        <v>8</v>
      </c>
      <c r="F44" s="11" t="n">
        <f aca="false">ROUND(Assumptions!F$35*Assumptions!$B$42,0)</f>
        <v>15</v>
      </c>
      <c r="G44" s="11" t="n">
        <f aca="false">ROUND(Assumptions!G$35*Assumptions!$B$42,0)</f>
        <v>25</v>
      </c>
    </row>
    <row r="45" customFormat="false" ht="15" hidden="false" customHeight="false" outlineLevel="0" collapsed="false">
      <c r="A45" s="5" t="s">
        <v>140</v>
      </c>
      <c r="C45" s="31" t="n">
        <f aca="false">C44</f>
        <v>0</v>
      </c>
      <c r="D45" s="31" t="n">
        <f aca="false">C45*(1-Assumptions!$B$30)+D44</f>
        <v>3</v>
      </c>
      <c r="E45" s="31" t="n">
        <f aca="false">D45*(1-Assumptions!$B$30)+E44</f>
        <v>10.7</v>
      </c>
      <c r="F45" s="31" t="n">
        <f aca="false">E45*(1-Assumptions!$B$30)+F44</f>
        <v>24.63</v>
      </c>
      <c r="G45" s="31" t="n">
        <f aca="false">F45*(1-Assumptions!$B$30)+G44</f>
        <v>47.167</v>
      </c>
    </row>
    <row r="46" customFormat="false" ht="15" hidden="false" customHeight="false" outlineLevel="0" collapsed="false">
      <c r="A46" s="5" t="s">
        <v>141</v>
      </c>
      <c r="C46" s="12" t="n">
        <f aca="false">0</f>
        <v>0</v>
      </c>
      <c r="D46" s="12" t="n">
        <f aca="false">ROUND(D45*Assumptions!$B$29,0)</f>
        <v>150</v>
      </c>
      <c r="E46" s="12" t="n">
        <f aca="false">ROUND(E45*Assumptions!$B$29,0)</f>
        <v>535</v>
      </c>
      <c r="F46" s="12" t="n">
        <f aca="false">ROUND(F45*Assumptions!$B$29,0)</f>
        <v>1232</v>
      </c>
      <c r="G46" s="12" t="n">
        <f aca="false">ROUND(G45*Assumptions!$B$29,0)</f>
        <v>2358</v>
      </c>
    </row>
    <row r="47" customFormat="false" ht="15" hidden="false" customHeight="false" outlineLevel="0" collapsed="false">
      <c r="A47" s="5" t="s">
        <v>142</v>
      </c>
      <c r="C47" s="12" t="n">
        <f aca="false">C46</f>
        <v>0</v>
      </c>
      <c r="D47" s="12" t="n">
        <f aca="false">C47+D46</f>
        <v>150</v>
      </c>
      <c r="E47" s="12" t="n">
        <f aca="false">D47+E46</f>
        <v>685</v>
      </c>
      <c r="F47" s="12" t="n">
        <f aca="false">E47+F46</f>
        <v>1917</v>
      </c>
      <c r="G47" s="12" t="n">
        <f aca="false">F47+G46</f>
        <v>4275</v>
      </c>
    </row>
    <row r="48" customFormat="false" ht="15" hidden="false" customHeight="false" outlineLevel="0" collapsed="false">
      <c r="A48" s="32" t="s">
        <v>143</v>
      </c>
    </row>
    <row r="49" customFormat="false" ht="15" hidden="false" customHeight="false" outlineLevel="0" collapsed="false">
      <c r="A49" s="5" t="s">
        <v>144</v>
      </c>
      <c r="C49" s="13" t="n">
        <f aca="false">C45*Assumptions!$B$23</f>
        <v>0</v>
      </c>
      <c r="D49" s="13" t="n">
        <f aca="false">D45*Assumptions!$B$23</f>
        <v>1050000</v>
      </c>
      <c r="E49" s="13" t="n">
        <f aca="false">E45*Assumptions!$B$23</f>
        <v>3745000</v>
      </c>
      <c r="F49" s="13" t="n">
        <f aca="false">F45*Assumptions!$B$23</f>
        <v>8620500</v>
      </c>
      <c r="G49" s="13" t="n">
        <f aca="false">G45*Assumptions!$B$23</f>
        <v>16508450</v>
      </c>
    </row>
    <row r="50" customFormat="false" ht="15" hidden="false" customHeight="false" outlineLevel="0" collapsed="false">
      <c r="A50" s="5" t="s">
        <v>145</v>
      </c>
      <c r="C50" s="13" t="n">
        <f aca="false">C46*Assumptions!$B$24</f>
        <v>0</v>
      </c>
      <c r="D50" s="13" t="n">
        <f aca="false">D46*Assumptions!$B$24</f>
        <v>2985000</v>
      </c>
      <c r="E50" s="13" t="n">
        <f aca="false">E46*Assumptions!$B$24</f>
        <v>10646500</v>
      </c>
      <c r="F50" s="13" t="n">
        <f aca="false">F46*Assumptions!$B$24</f>
        <v>24516800</v>
      </c>
      <c r="G50" s="13" t="n">
        <f aca="false">G46*Assumptions!$B$24</f>
        <v>46924200</v>
      </c>
    </row>
    <row r="51" customFormat="false" ht="15" hidden="false" customHeight="false" outlineLevel="0" collapsed="false">
      <c r="A51" s="5" t="s">
        <v>146</v>
      </c>
      <c r="C51" s="13" t="n">
        <f aca="false">C47*Assumptions!$B$25</f>
        <v>0</v>
      </c>
      <c r="D51" s="13" t="n">
        <f aca="false">D47*Assumptions!$B$25</f>
        <v>180000</v>
      </c>
      <c r="E51" s="13" t="n">
        <f aca="false">E47*Assumptions!$B$25</f>
        <v>822000</v>
      </c>
      <c r="F51" s="13" t="n">
        <f aca="false">F47*Assumptions!$B$25</f>
        <v>2300400</v>
      </c>
      <c r="G51" s="13" t="n">
        <f aca="false">G47*Assumptions!$B$25</f>
        <v>5130000</v>
      </c>
    </row>
    <row r="52" customFormat="false" ht="15" hidden="false" customHeight="false" outlineLevel="0" collapsed="false">
      <c r="A52" s="5" t="s">
        <v>147</v>
      </c>
      <c r="C52" s="13" t="n">
        <f aca="false">C45*Assumptions!$B$26</f>
        <v>0</v>
      </c>
      <c r="D52" s="13" t="n">
        <f aca="false">D45*Assumptions!$B$26</f>
        <v>180000</v>
      </c>
      <c r="E52" s="13" t="n">
        <f aca="false">E45*Assumptions!$B$26</f>
        <v>642000</v>
      </c>
      <c r="F52" s="13" t="n">
        <f aca="false">F45*Assumptions!$B$26</f>
        <v>1477800</v>
      </c>
      <c r="G52" s="13" t="n">
        <f aca="false">G45*Assumptions!$B$26</f>
        <v>2830020</v>
      </c>
    </row>
    <row r="53" customFormat="false" ht="15" hidden="false" customHeight="false" outlineLevel="0" collapsed="false">
      <c r="A53" s="9" t="s">
        <v>148</v>
      </c>
      <c r="B53" s="33"/>
      <c r="C53" s="34" t="n">
        <f aca="false">SUM(C49:C52)</f>
        <v>0</v>
      </c>
      <c r="D53" s="34" t="n">
        <f aca="false">SUM(D49:D52)</f>
        <v>4395000</v>
      </c>
      <c r="E53" s="34" t="n">
        <f aca="false">SUM(E49:E52)</f>
        <v>15855500</v>
      </c>
      <c r="F53" s="34" t="n">
        <f aca="false">SUM(F49:F52)</f>
        <v>36915500</v>
      </c>
      <c r="G53" s="34" t="n">
        <f aca="false">SUM(G49:G52)</f>
        <v>71392670</v>
      </c>
    </row>
    <row r="54" customFormat="false" ht="15" hidden="false" customHeight="false" outlineLevel="0" collapsed="false">
      <c r="A54" s="32" t="s">
        <v>149</v>
      </c>
    </row>
    <row r="55" customFormat="false" ht="15" hidden="false" customHeight="false" outlineLevel="0" collapsed="false">
      <c r="A55" s="5" t="s">
        <v>150</v>
      </c>
      <c r="C55" s="13" t="n">
        <f aca="false">C45*Assumptions!$B$17</f>
        <v>0</v>
      </c>
      <c r="D55" s="13" t="n">
        <f aca="false">D45*Assumptions!$B$17</f>
        <v>270000</v>
      </c>
      <c r="E55" s="13" t="n">
        <f aca="false">E45*Assumptions!$B$17</f>
        <v>963000</v>
      </c>
      <c r="F55" s="13" t="n">
        <f aca="false">F45*Assumptions!$B$17</f>
        <v>2216700</v>
      </c>
      <c r="G55" s="13" t="n">
        <f aca="false">G45*Assumptions!$B$17</f>
        <v>4245030</v>
      </c>
    </row>
    <row r="56" customFormat="false" ht="15" hidden="false" customHeight="false" outlineLevel="0" collapsed="false">
      <c r="A56" s="5" t="s">
        <v>151</v>
      </c>
      <c r="C56" s="13" t="n">
        <f aca="false">C46*Assumptions!$B$16*(1-Assumptions!$B$21)^0</f>
        <v>0</v>
      </c>
      <c r="D56" s="13" t="n">
        <f aca="false">D46*Assumptions!$B$16*(1-Assumptions!$B$21)^1</f>
        <v>2310000</v>
      </c>
      <c r="E56" s="13" t="n">
        <f aca="false">E46*Assumptions!$B$16*(1-Assumptions!$B$21)^2</f>
        <v>7250320</v>
      </c>
      <c r="F56" s="13" t="n">
        <f aca="false">F46*Assumptions!$B$16*(1-Assumptions!$B$21)^3</f>
        <v>14692536.32</v>
      </c>
      <c r="G56" s="13" t="n">
        <f aca="false">G46*Assumptions!$B$16*(1-Assumptions!$B$21)^4</f>
        <v>24746429.0304</v>
      </c>
    </row>
    <row r="57" customFormat="false" ht="15" hidden="false" customHeight="false" outlineLevel="0" collapsed="false">
      <c r="A57" s="5" t="s">
        <v>152</v>
      </c>
      <c r="C57" s="13" t="n">
        <f aca="false">C47*(Assumptions!$B$18+Assumptions!$B$19*Assumptions!$B$16*(1-Assumptions!$B$21)^0)</f>
        <v>0</v>
      </c>
      <c r="D57" s="13" t="n">
        <f aca="false">D47*(Assumptions!$B$18+Assumptions!$B$19*Assumptions!$B$16*(1-Assumptions!$B$21)^1)</f>
        <v>160500</v>
      </c>
      <c r="E57" s="13" t="n">
        <f aca="false">E47*(Assumptions!$B$18+Assumptions!$B$19*Assumptions!$B$16*(1-Assumptions!$B$21)^2)</f>
        <v>669656</v>
      </c>
      <c r="F57" s="13" t="n">
        <f aca="false">F47*(Assumptions!$B$18+Assumptions!$B$19*Assumptions!$B$16*(1-Assumptions!$B$21)^3)</f>
        <v>1718184.096</v>
      </c>
      <c r="G57" s="13" t="n">
        <f aca="false">G47*(Assumptions!$B$18+Assumptions!$B$19*Assumptions!$B$16*(1-Assumptions!$B$21)^4)</f>
        <v>3525735.456</v>
      </c>
    </row>
    <row r="58" customFormat="false" ht="15" hidden="false" customHeight="false" outlineLevel="0" collapsed="false">
      <c r="A58" s="5" t="s">
        <v>153</v>
      </c>
      <c r="C58" s="13" t="n">
        <f aca="false">C52*Assumptions!$B$27</f>
        <v>0</v>
      </c>
      <c r="D58" s="13" t="n">
        <f aca="false">D52*Assumptions!$B$27</f>
        <v>27000</v>
      </c>
      <c r="E58" s="13" t="n">
        <f aca="false">E52*Assumptions!$B$27</f>
        <v>96300</v>
      </c>
      <c r="F58" s="13" t="n">
        <f aca="false">F52*Assumptions!$B$27</f>
        <v>221670</v>
      </c>
      <c r="G58" s="13" t="n">
        <f aca="false">G52*Assumptions!$B$27</f>
        <v>424503</v>
      </c>
    </row>
    <row r="59" customFormat="false" ht="15" hidden="false" customHeight="false" outlineLevel="0" collapsed="false">
      <c r="A59" s="15" t="s">
        <v>154</v>
      </c>
      <c r="C59" s="6" t="n">
        <f aca="false">C53-SUM(C55:C58)</f>
        <v>0</v>
      </c>
      <c r="D59" s="6" t="n">
        <f aca="false">D53-SUM(D55:D58)</f>
        <v>1627500</v>
      </c>
      <c r="E59" s="6" t="n">
        <f aca="false">E53-SUM(E55:E58)</f>
        <v>6876224</v>
      </c>
      <c r="F59" s="6" t="n">
        <f aca="false">F53-SUM(F55:F58)</f>
        <v>18066409.584</v>
      </c>
      <c r="G59" s="6" t="n">
        <f aca="false">G53-SUM(G55:G58)</f>
        <v>38450972.5136</v>
      </c>
    </row>
    <row r="60" customFormat="false" ht="15" hidden="false" customHeight="false" outlineLevel="0" collapsed="false">
      <c r="A60" s="5" t="s">
        <v>155</v>
      </c>
      <c r="C60" s="14" t="n">
        <f aca="false">IF(C53=0,0,C59/C53)</f>
        <v>0</v>
      </c>
      <c r="D60" s="14" t="n">
        <f aca="false">IF(D53=0,0,D59/D53)</f>
        <v>0.370307167235495</v>
      </c>
      <c r="E60" s="14" t="n">
        <f aca="false">IF(E53=0,0,E59/E53)</f>
        <v>0.433680678628867</v>
      </c>
      <c r="F60" s="14" t="n">
        <f aca="false">IF(F53=0,0,F59/F53)</f>
        <v>0.489399021657569</v>
      </c>
      <c r="G60" s="14" t="n">
        <f aca="false">IF(G53=0,0,G59/G53)</f>
        <v>0.538584318440535</v>
      </c>
    </row>
    <row r="61" customFormat="false" ht="15" hidden="false" customHeight="false" outlineLevel="0" collapsed="false">
      <c r="A61" s="5" t="s">
        <v>156</v>
      </c>
      <c r="C61" s="13" t="n">
        <f aca="false">Assumptions!C$36</f>
        <v>800000</v>
      </c>
      <c r="D61" s="13" t="n">
        <f aca="false">Assumptions!D$36*(0.8+0.2*Assumptions!$B$42)</f>
        <v>3500000</v>
      </c>
      <c r="E61" s="13" t="n">
        <f aca="false">Assumptions!E$36*(0.8+0.2*Assumptions!$B$42)</f>
        <v>6000000</v>
      </c>
      <c r="F61" s="13" t="n">
        <f aca="false">Assumptions!F$36*(0.8+0.2*Assumptions!$B$42)</f>
        <v>10000000</v>
      </c>
      <c r="G61" s="13" t="n">
        <f aca="false">Assumptions!G$36*(0.8+0.2*Assumptions!$B$42)</f>
        <v>16000000</v>
      </c>
    </row>
    <row r="62" customFormat="false" ht="15" hidden="false" customHeight="false" outlineLevel="0" collapsed="false">
      <c r="A62" s="9" t="s">
        <v>157</v>
      </c>
      <c r="B62" s="33"/>
      <c r="C62" s="34" t="n">
        <f aca="false">C59-C61</f>
        <v>-800000</v>
      </c>
      <c r="D62" s="34" t="n">
        <f aca="false">D59-D61</f>
        <v>-1872500</v>
      </c>
      <c r="E62" s="34" t="n">
        <f aca="false">E59-E61</f>
        <v>876224</v>
      </c>
      <c r="F62" s="34" t="n">
        <f aca="false">F59-F61</f>
        <v>8066409.584</v>
      </c>
      <c r="G62" s="34" t="n">
        <f aca="false">G59-G61</f>
        <v>22450972.5136</v>
      </c>
    </row>
    <row r="63" customFormat="false" ht="15" hidden="false" customHeight="false" outlineLevel="0" collapsed="false">
      <c r="A63" s="5" t="s">
        <v>158</v>
      </c>
      <c r="C63" s="13" t="n">
        <f aca="false">C44*(Assumptions!$B$11*Assumptions!$B$12+Assumptions!$B$13*Assumptions!$B$14+Assumptions!$B$15)*(1-Assumptions!$B$20)^0</f>
        <v>0</v>
      </c>
      <c r="D63" s="13" t="n">
        <f aca="false">D44*(Assumptions!$B$11*Assumptions!$B$12+Assumptions!$B$13*Assumptions!$B$14+Assumptions!$B$15)*(1-Assumptions!$B$20)^1</f>
        <v>913027.5</v>
      </c>
      <c r="E63" s="13" t="n">
        <f aca="false">E44*(Assumptions!$B$11*Assumptions!$B$12+Assumptions!$B$13*Assumptions!$B$14+Assumptions!$B$15)*(1-Assumptions!$B$20)^2</f>
        <v>2264308.2</v>
      </c>
      <c r="F63" s="13" t="n">
        <f aca="false">F44*(Assumptions!$B$11*Assumptions!$B$12+Assumptions!$B$13*Assumptions!$B$14+Assumptions!$B$15)*(1-Assumptions!$B$20)^3</f>
        <v>3948387.42375</v>
      </c>
      <c r="G63" s="13" t="n">
        <f aca="false">G44*(Assumptions!$B$11*Assumptions!$B$12+Assumptions!$B$13*Assumptions!$B$14+Assumptions!$B$15)*(1-Assumptions!$B$20)^4</f>
        <v>6120000.5068125</v>
      </c>
    </row>
    <row r="64" customFormat="false" ht="15" hidden="false" customHeight="false" outlineLevel="0" collapsed="false">
      <c r="A64" s="32" t="s">
        <v>159</v>
      </c>
    </row>
    <row r="65" customFormat="false" ht="15" hidden="false" customHeight="false" outlineLevel="0" collapsed="false">
      <c r="A65" s="5" t="s">
        <v>160</v>
      </c>
      <c r="C65" s="13" t="n">
        <f aca="false">0</f>
        <v>0</v>
      </c>
      <c r="D65" s="13" t="n">
        <f aca="false">'Deal Terms'!$B$7</f>
        <v>3000000</v>
      </c>
      <c r="E65" s="13" t="n">
        <f aca="false">'Deal Terms'!$B$7+'Deal Terms'!$C$7</f>
        <v>8000000</v>
      </c>
      <c r="F65" s="13" t="n">
        <f aca="false">'Deal Terms'!$B$7+'Deal Terms'!$C$7</f>
        <v>8000000</v>
      </c>
      <c r="G65" s="13" t="n">
        <f aca="false">'Deal Terms'!$B$7+'Deal Terms'!$C$7</f>
        <v>8000000</v>
      </c>
    </row>
    <row r="66" customFormat="false" ht="15" hidden="false" customHeight="false" outlineLevel="0" collapsed="false">
      <c r="A66" s="5" t="s">
        <v>161</v>
      </c>
      <c r="C66" s="13" t="n">
        <f aca="false">(C46*'Deal Terms'!$B$14+C45*'Deal Terms'!$B$15)*0</f>
        <v>0</v>
      </c>
      <c r="D66" s="13" t="n">
        <f aca="false">(D46*'Deal Terms'!$B$14+D45*'Deal Terms'!$B$15)*'Deal Terms'!$B$17</f>
        <v>75000</v>
      </c>
      <c r="E66" s="13" t="n">
        <f aca="false">(E46*'Deal Terms'!$B$14+E45*'Deal Terms'!$B$15)*'Deal Terms'!$B$18</f>
        <v>535000</v>
      </c>
      <c r="F66" s="13" t="n">
        <f aca="false">(F46*'Deal Terms'!$B$14+F45*'Deal Terms'!$B$15)*'Deal Terms'!$B$18</f>
        <v>1231875</v>
      </c>
      <c r="G66" s="13" t="n">
        <f aca="false">(G46*'Deal Terms'!$B$14+G45*'Deal Terms'!$B$15)*'Deal Terms'!$B$18</f>
        <v>2358087.5</v>
      </c>
    </row>
    <row r="67" customFormat="false" ht="15" hidden="false" customHeight="false" outlineLevel="0" collapsed="false">
      <c r="A67" s="5" t="s">
        <v>162</v>
      </c>
      <c r="C67" s="13" t="n">
        <f aca="false">MAX(0,MIN(C66,'Deal Terms'!$B$16*C65-0))</f>
        <v>0</v>
      </c>
      <c r="D67" s="13" t="n">
        <f aca="false">MAX(0,MIN(D66,'Deal Terms'!$B$16*D65-C68))</f>
        <v>75000</v>
      </c>
      <c r="E67" s="13" t="n">
        <f aca="false">MAX(0,MIN(E66,'Deal Terms'!$B$16*E65-D68))</f>
        <v>535000</v>
      </c>
      <c r="F67" s="13" t="n">
        <f aca="false">MAX(0,MIN(F66,'Deal Terms'!$B$16*F65-E68))</f>
        <v>1231875</v>
      </c>
      <c r="G67" s="13" t="n">
        <f aca="false">MAX(0,MIN(G66,'Deal Terms'!$B$16*G65-F68))</f>
        <v>2358087.5</v>
      </c>
    </row>
    <row r="68" customFormat="false" ht="15" hidden="false" customHeight="false" outlineLevel="0" collapsed="false">
      <c r="A68" s="5" t="s">
        <v>163</v>
      </c>
      <c r="C68" s="13" t="n">
        <f aca="false">0+C67</f>
        <v>0</v>
      </c>
      <c r="D68" s="13" t="n">
        <f aca="false">C68+D67</f>
        <v>75000</v>
      </c>
      <c r="E68" s="13" t="n">
        <f aca="false">D68+E67</f>
        <v>610000</v>
      </c>
      <c r="F68" s="13" t="n">
        <f aca="false">E68+F67</f>
        <v>1841875</v>
      </c>
      <c r="G68" s="13" t="n">
        <f aca="false">F68+G67</f>
        <v>4199962.5</v>
      </c>
    </row>
    <row r="69" customFormat="false" ht="15" hidden="false" customHeight="false" outlineLevel="0" collapsed="false">
      <c r="A69" s="5" t="s">
        <v>164</v>
      </c>
      <c r="C69" s="13" t="n">
        <f aca="false">'Deal Terms'!$B$7</f>
        <v>3000000</v>
      </c>
      <c r="D69" s="13" t="n">
        <f aca="false">'Deal Terms'!$C$7</f>
        <v>5000000</v>
      </c>
      <c r="E69" s="13" t="n">
        <f aca="false">0</f>
        <v>0</v>
      </c>
      <c r="F69" s="13" t="n">
        <f aca="false">0</f>
        <v>0</v>
      </c>
      <c r="G69" s="13" t="n">
        <f aca="false">0</f>
        <v>0</v>
      </c>
    </row>
    <row r="70" customFormat="false" ht="15" hidden="false" customHeight="false" outlineLevel="0" collapsed="false">
      <c r="A70" s="32" t="s">
        <v>165</v>
      </c>
    </row>
    <row r="71" customFormat="false" ht="15" hidden="false" customHeight="false" outlineLevel="0" collapsed="false">
      <c r="A71" s="5" t="s">
        <v>88</v>
      </c>
      <c r="C71" s="13" t="n">
        <f aca="false">Assumptions!$B$32</f>
        <v>800000</v>
      </c>
      <c r="D71" s="13" t="n">
        <f aca="false">0</f>
        <v>0</v>
      </c>
      <c r="E71" s="13" t="n">
        <f aca="false">0</f>
        <v>0</v>
      </c>
      <c r="F71" s="13" t="n">
        <f aca="false">0</f>
        <v>0</v>
      </c>
      <c r="G71" s="13" t="n">
        <f aca="false">0</f>
        <v>0</v>
      </c>
    </row>
    <row r="72" customFormat="false" ht="15" hidden="false" customHeight="false" outlineLevel="0" collapsed="false">
      <c r="A72" s="5" t="s">
        <v>166</v>
      </c>
      <c r="C72" s="13" t="n">
        <f aca="false">0+C71+C62-C63-C67</f>
        <v>0</v>
      </c>
      <c r="D72" s="13" t="n">
        <f aca="false">C72+D71+D62-D63-D67</f>
        <v>-2860527.5</v>
      </c>
      <c r="E72" s="13" t="n">
        <f aca="false">D72+E71+E62-E63-E67</f>
        <v>-4783611.7</v>
      </c>
      <c r="F72" s="13" t="n">
        <f aca="false">E72+F71+F62-F63-F67</f>
        <v>-1897464.53975</v>
      </c>
      <c r="G72" s="13" t="n">
        <f aca="false">F72+G71+G62-G63-G67</f>
        <v>12075419.9670375</v>
      </c>
    </row>
    <row r="73" customFormat="false" ht="15" hidden="false" customHeight="false" outlineLevel="0" collapsed="false">
      <c r="A73" s="5" t="s">
        <v>167</v>
      </c>
      <c r="C73" s="13" t="n">
        <f aca="false">0+C71+C62-C63-C67</f>
        <v>0</v>
      </c>
      <c r="D73" s="13" t="n">
        <f aca="false">C75+D71+D62-D63-D67</f>
        <v>139472.5</v>
      </c>
      <c r="E73" s="13" t="n">
        <f aca="false">D75+E71+E62-E63-E67</f>
        <v>3216388.3</v>
      </c>
      <c r="F73" s="13" t="n">
        <f aca="false">E75+F71+F62-F63-F67</f>
        <v>6102535.46025</v>
      </c>
      <c r="G73" s="13" t="n">
        <f aca="false">F75+G71+G62-G63-G67</f>
        <v>20075419.9670375</v>
      </c>
    </row>
    <row r="74" customFormat="false" ht="15" hidden="false" customHeight="false" outlineLevel="0" collapsed="false">
      <c r="A74" s="5" t="s">
        <v>168</v>
      </c>
      <c r="C74" s="13" t="n">
        <f aca="false">MAX(0,-C73)</f>
        <v>-0</v>
      </c>
      <c r="D74" s="13" t="n">
        <f aca="false">MAX(0,-D73)</f>
        <v>0</v>
      </c>
      <c r="E74" s="13" t="n">
        <f aca="false">MAX(0,-E73)</f>
        <v>0</v>
      </c>
      <c r="F74" s="13" t="n">
        <f aca="false">MAX(0,-F73)</f>
        <v>0</v>
      </c>
      <c r="G74" s="13" t="n">
        <f aca="false">MAX(0,-G73)</f>
        <v>0</v>
      </c>
    </row>
    <row r="75" customFormat="false" ht="15" hidden="false" customHeight="false" outlineLevel="0" collapsed="false">
      <c r="A75" s="9" t="s">
        <v>169</v>
      </c>
      <c r="B75" s="33"/>
      <c r="C75" s="34" t="n">
        <f aca="false">C73+C69+C74</f>
        <v>3000000</v>
      </c>
      <c r="D75" s="34" t="n">
        <f aca="false">D73+D69+D74</f>
        <v>5139472.5</v>
      </c>
      <c r="E75" s="34" t="n">
        <f aca="false">E73+E69+E74</f>
        <v>3216388.3</v>
      </c>
      <c r="F75" s="34" t="n">
        <f aca="false">F73+F69+F74</f>
        <v>6102535.46025</v>
      </c>
      <c r="G75" s="34" t="n">
        <f aca="false">G73+G69+G74</f>
        <v>20075419.9670375</v>
      </c>
    </row>
    <row r="76" customFormat="false" ht="15" hidden="false" customHeight="false" outlineLevel="0" collapsed="false">
      <c r="A76" s="32" t="s">
        <v>170</v>
      </c>
    </row>
    <row r="77" customFormat="false" ht="15" hidden="false" customHeight="false" outlineLevel="0" collapsed="false">
      <c r="A77" s="5" t="s">
        <v>171</v>
      </c>
      <c r="C77" s="13" t="n">
        <f aca="false">0+C74</f>
        <v>0</v>
      </c>
      <c r="D77" s="13" t="n">
        <f aca="false">C77+D74</f>
        <v>0</v>
      </c>
      <c r="E77" s="13" t="n">
        <f aca="false">D77+E74</f>
        <v>0</v>
      </c>
      <c r="F77" s="13" t="n">
        <f aca="false">E77+F74</f>
        <v>0</v>
      </c>
      <c r="G77" s="13" t="n">
        <f aca="false">F77+G74</f>
        <v>0</v>
      </c>
    </row>
    <row r="78" customFormat="false" ht="15" hidden="false" customHeight="false" outlineLevel="0" collapsed="false">
      <c r="A78" s="5" t="s">
        <v>22</v>
      </c>
      <c r="C78" s="14" t="n">
        <f aca="false">'Deal Terms'!$B$11*(1-C77/('Deal Terms'!$C$8+C77))</f>
        <v>0.0981333333333334</v>
      </c>
      <c r="D78" s="14" t="n">
        <f aca="false">'Deal Terms'!$B$11*(1-D77/('Deal Terms'!$C$8+D77))</f>
        <v>0.0981333333333334</v>
      </c>
      <c r="E78" s="14" t="n">
        <f aca="false">'Deal Terms'!$B$11*(1-E77/('Deal Terms'!$C$8+E77))</f>
        <v>0.0981333333333334</v>
      </c>
      <c r="F78" s="14" t="n">
        <f aca="false">'Deal Terms'!$B$11*(1-F77/('Deal Terms'!$C$8+F77))</f>
        <v>0.0981333333333334</v>
      </c>
      <c r="G78" s="14" t="n">
        <f aca="false">'Deal Terms'!$B$11*(1-G77/('Deal Terms'!$C$8+G77))</f>
        <v>0.0981333333333334</v>
      </c>
    </row>
    <row r="80" customFormat="false" ht="15" hidden="false" customHeight="false" outlineLevel="0" collapsed="false">
      <c r="A80" s="3" t="s">
        <v>173</v>
      </c>
      <c r="B80" s="4"/>
      <c r="C80" s="4"/>
      <c r="D80" s="4"/>
      <c r="E80" s="4"/>
      <c r="F80" s="4"/>
      <c r="G80" s="4"/>
    </row>
    <row r="81" customFormat="false" ht="15" hidden="false" customHeight="false" outlineLevel="0" collapsed="false">
      <c r="A81" s="29"/>
      <c r="B81" s="29"/>
      <c r="C81" s="10" t="s">
        <v>91</v>
      </c>
      <c r="D81" s="10" t="s">
        <v>92</v>
      </c>
      <c r="E81" s="10" t="s">
        <v>93</v>
      </c>
      <c r="F81" s="10" t="s">
        <v>94</v>
      </c>
      <c r="G81" s="10" t="s">
        <v>95</v>
      </c>
    </row>
    <row r="82" customFormat="false" ht="15" hidden="false" customHeight="false" outlineLevel="0" collapsed="false">
      <c r="A82" s="5" t="s">
        <v>139</v>
      </c>
      <c r="B82" s="30" t="n">
        <f aca="false">Assumptions!$B$43</f>
        <v>1.6</v>
      </c>
      <c r="C82" s="11" t="n">
        <f aca="false">ROUND(Assumptions!C$35*Assumptions!$B$43,0)</f>
        <v>0</v>
      </c>
      <c r="D82" s="11" t="n">
        <f aca="false">ROUND(Assumptions!D$35*Assumptions!$B$43,0)</f>
        <v>5</v>
      </c>
      <c r="E82" s="11" t="n">
        <f aca="false">ROUND(Assumptions!E$35*Assumptions!$B$43,0)</f>
        <v>13</v>
      </c>
      <c r="F82" s="11" t="n">
        <f aca="false">ROUND(Assumptions!F$35*Assumptions!$B$43,0)</f>
        <v>24</v>
      </c>
      <c r="G82" s="11" t="n">
        <f aca="false">ROUND(Assumptions!G$35*Assumptions!$B$43,0)</f>
        <v>40</v>
      </c>
    </row>
    <row r="83" customFormat="false" ht="15" hidden="false" customHeight="false" outlineLevel="0" collapsed="false">
      <c r="A83" s="5" t="s">
        <v>140</v>
      </c>
      <c r="C83" s="31" t="n">
        <f aca="false">C82</f>
        <v>0</v>
      </c>
      <c r="D83" s="31" t="n">
        <f aca="false">C83*(1-Assumptions!$B$30)+D82</f>
        <v>5</v>
      </c>
      <c r="E83" s="31" t="n">
        <f aca="false">D83*(1-Assumptions!$B$30)+E82</f>
        <v>17.5</v>
      </c>
      <c r="F83" s="31" t="n">
        <f aca="false">E83*(1-Assumptions!$B$30)+F82</f>
        <v>39.75</v>
      </c>
      <c r="G83" s="31" t="n">
        <f aca="false">F83*(1-Assumptions!$B$30)+G82</f>
        <v>75.775</v>
      </c>
    </row>
    <row r="84" customFormat="false" ht="15" hidden="false" customHeight="false" outlineLevel="0" collapsed="false">
      <c r="A84" s="5" t="s">
        <v>141</v>
      </c>
      <c r="C84" s="12" t="n">
        <f aca="false">0</f>
        <v>0</v>
      </c>
      <c r="D84" s="12" t="n">
        <f aca="false">ROUND(D83*Assumptions!$B$29,0)</f>
        <v>250</v>
      </c>
      <c r="E84" s="12" t="n">
        <f aca="false">ROUND(E83*Assumptions!$B$29,0)</f>
        <v>875</v>
      </c>
      <c r="F84" s="12" t="n">
        <f aca="false">ROUND(F83*Assumptions!$B$29,0)</f>
        <v>1988</v>
      </c>
      <c r="G84" s="12" t="n">
        <f aca="false">ROUND(G83*Assumptions!$B$29,0)</f>
        <v>3789</v>
      </c>
    </row>
    <row r="85" customFormat="false" ht="15" hidden="false" customHeight="false" outlineLevel="0" collapsed="false">
      <c r="A85" s="5" t="s">
        <v>142</v>
      </c>
      <c r="C85" s="12" t="n">
        <f aca="false">C84</f>
        <v>0</v>
      </c>
      <c r="D85" s="12" t="n">
        <f aca="false">C85+D84</f>
        <v>250</v>
      </c>
      <c r="E85" s="12" t="n">
        <f aca="false">D85+E84</f>
        <v>1125</v>
      </c>
      <c r="F85" s="12" t="n">
        <f aca="false">E85+F84</f>
        <v>3113</v>
      </c>
      <c r="G85" s="12" t="n">
        <f aca="false">F85+G84</f>
        <v>6902</v>
      </c>
    </row>
    <row r="86" customFormat="false" ht="15" hidden="false" customHeight="false" outlineLevel="0" collapsed="false">
      <c r="A86" s="32" t="s">
        <v>143</v>
      </c>
    </row>
    <row r="87" customFormat="false" ht="15" hidden="false" customHeight="false" outlineLevel="0" collapsed="false">
      <c r="A87" s="5" t="s">
        <v>144</v>
      </c>
      <c r="C87" s="13" t="n">
        <f aca="false">C83*Assumptions!$B$23</f>
        <v>0</v>
      </c>
      <c r="D87" s="13" t="n">
        <f aca="false">D83*Assumptions!$B$23</f>
        <v>1750000</v>
      </c>
      <c r="E87" s="13" t="n">
        <f aca="false">E83*Assumptions!$B$23</f>
        <v>6125000</v>
      </c>
      <c r="F87" s="13" t="n">
        <f aca="false">F83*Assumptions!$B$23</f>
        <v>13912500</v>
      </c>
      <c r="G87" s="13" t="n">
        <f aca="false">G83*Assumptions!$B$23</f>
        <v>26521250</v>
      </c>
    </row>
    <row r="88" customFormat="false" ht="15" hidden="false" customHeight="false" outlineLevel="0" collapsed="false">
      <c r="A88" s="5" t="s">
        <v>145</v>
      </c>
      <c r="C88" s="13" t="n">
        <f aca="false">C84*Assumptions!$B$24</f>
        <v>0</v>
      </c>
      <c r="D88" s="13" t="n">
        <f aca="false">D84*Assumptions!$B$24</f>
        <v>4975000</v>
      </c>
      <c r="E88" s="13" t="n">
        <f aca="false">E84*Assumptions!$B$24</f>
        <v>17412500</v>
      </c>
      <c r="F88" s="13" t="n">
        <f aca="false">F84*Assumptions!$B$24</f>
        <v>39561200</v>
      </c>
      <c r="G88" s="13" t="n">
        <f aca="false">G84*Assumptions!$B$24</f>
        <v>75401100</v>
      </c>
    </row>
    <row r="89" customFormat="false" ht="15" hidden="false" customHeight="false" outlineLevel="0" collapsed="false">
      <c r="A89" s="5" t="s">
        <v>146</v>
      </c>
      <c r="C89" s="13" t="n">
        <f aca="false">C85*Assumptions!$B$25</f>
        <v>0</v>
      </c>
      <c r="D89" s="13" t="n">
        <f aca="false">D85*Assumptions!$B$25</f>
        <v>300000</v>
      </c>
      <c r="E89" s="13" t="n">
        <f aca="false">E85*Assumptions!$B$25</f>
        <v>1350000</v>
      </c>
      <c r="F89" s="13" t="n">
        <f aca="false">F85*Assumptions!$B$25</f>
        <v>3735600</v>
      </c>
      <c r="G89" s="13" t="n">
        <f aca="false">G85*Assumptions!$B$25</f>
        <v>8282400</v>
      </c>
    </row>
    <row r="90" customFormat="false" ht="15" hidden="false" customHeight="false" outlineLevel="0" collapsed="false">
      <c r="A90" s="5" t="s">
        <v>147</v>
      </c>
      <c r="C90" s="13" t="n">
        <f aca="false">C83*Assumptions!$B$26</f>
        <v>0</v>
      </c>
      <c r="D90" s="13" t="n">
        <f aca="false">D83*Assumptions!$B$26</f>
        <v>300000</v>
      </c>
      <c r="E90" s="13" t="n">
        <f aca="false">E83*Assumptions!$B$26</f>
        <v>1050000</v>
      </c>
      <c r="F90" s="13" t="n">
        <f aca="false">F83*Assumptions!$B$26</f>
        <v>2385000</v>
      </c>
      <c r="G90" s="13" t="n">
        <f aca="false">G83*Assumptions!$B$26</f>
        <v>4546500</v>
      </c>
    </row>
    <row r="91" customFormat="false" ht="15" hidden="false" customHeight="false" outlineLevel="0" collapsed="false">
      <c r="A91" s="9" t="s">
        <v>148</v>
      </c>
      <c r="B91" s="33"/>
      <c r="C91" s="34" t="n">
        <f aca="false">SUM(C87:C90)</f>
        <v>0</v>
      </c>
      <c r="D91" s="34" t="n">
        <f aca="false">SUM(D87:D90)</f>
        <v>7325000</v>
      </c>
      <c r="E91" s="34" t="n">
        <f aca="false">SUM(E87:E90)</f>
        <v>25937500</v>
      </c>
      <c r="F91" s="34" t="n">
        <f aca="false">SUM(F87:F90)</f>
        <v>59594300</v>
      </c>
      <c r="G91" s="34" t="n">
        <f aca="false">SUM(G87:G90)</f>
        <v>114751250</v>
      </c>
    </row>
    <row r="92" customFormat="false" ht="15" hidden="false" customHeight="false" outlineLevel="0" collapsed="false">
      <c r="A92" s="32" t="s">
        <v>149</v>
      </c>
    </row>
    <row r="93" customFormat="false" ht="15" hidden="false" customHeight="false" outlineLevel="0" collapsed="false">
      <c r="A93" s="5" t="s">
        <v>150</v>
      </c>
      <c r="C93" s="13" t="n">
        <f aca="false">C83*Assumptions!$B$17</f>
        <v>0</v>
      </c>
      <c r="D93" s="13" t="n">
        <f aca="false">D83*Assumptions!$B$17</f>
        <v>450000</v>
      </c>
      <c r="E93" s="13" t="n">
        <f aca="false">E83*Assumptions!$B$17</f>
        <v>1575000</v>
      </c>
      <c r="F93" s="13" t="n">
        <f aca="false">F83*Assumptions!$B$17</f>
        <v>3577500</v>
      </c>
      <c r="G93" s="13" t="n">
        <f aca="false">G83*Assumptions!$B$17</f>
        <v>6819750</v>
      </c>
    </row>
    <row r="94" customFormat="false" ht="15" hidden="false" customHeight="false" outlineLevel="0" collapsed="false">
      <c r="A94" s="5" t="s">
        <v>151</v>
      </c>
      <c r="C94" s="13" t="n">
        <f aca="false">C84*Assumptions!$B$16*(1-Assumptions!$B$21)^0</f>
        <v>0</v>
      </c>
      <c r="D94" s="13" t="n">
        <f aca="false">D84*Assumptions!$B$16*(1-Assumptions!$B$21)^1</f>
        <v>3850000</v>
      </c>
      <c r="E94" s="13" t="n">
        <f aca="false">E84*Assumptions!$B$16*(1-Assumptions!$B$21)^2</f>
        <v>11858000</v>
      </c>
      <c r="F94" s="13" t="n">
        <f aca="false">F84*Assumptions!$B$16*(1-Assumptions!$B$21)^3</f>
        <v>23708410.88</v>
      </c>
      <c r="G94" s="13" t="n">
        <f aca="false">G84*Assumptions!$B$16*(1-Assumptions!$B$21)^4</f>
        <v>39764300.0832</v>
      </c>
    </row>
    <row r="95" customFormat="false" ht="15" hidden="false" customHeight="false" outlineLevel="0" collapsed="false">
      <c r="A95" s="5" t="s">
        <v>152</v>
      </c>
      <c r="C95" s="13" t="n">
        <f aca="false">C85*(Assumptions!$B$18+Assumptions!$B$19*Assumptions!$B$16*(1-Assumptions!$B$21)^0)</f>
        <v>0</v>
      </c>
      <c r="D95" s="13" t="n">
        <f aca="false">D85*(Assumptions!$B$18+Assumptions!$B$19*Assumptions!$B$16*(1-Assumptions!$B$21)^1)</f>
        <v>267500</v>
      </c>
      <c r="E95" s="13" t="n">
        <f aca="false">E85*(Assumptions!$B$18+Assumptions!$B$19*Assumptions!$B$16*(1-Assumptions!$B$21)^2)</f>
        <v>1099800</v>
      </c>
      <c r="F95" s="13" t="n">
        <f aca="false">F85*(Assumptions!$B$18+Assumptions!$B$19*Assumptions!$B$16*(1-Assumptions!$B$21)^3)</f>
        <v>2790144.544</v>
      </c>
      <c r="G95" s="13" t="n">
        <f aca="false">G85*(Assumptions!$B$18+Assumptions!$B$19*Assumptions!$B$16*(1-Assumptions!$B$21)^4)</f>
        <v>5692310.20288</v>
      </c>
    </row>
    <row r="96" customFormat="false" ht="15" hidden="false" customHeight="false" outlineLevel="0" collapsed="false">
      <c r="A96" s="5" t="s">
        <v>153</v>
      </c>
      <c r="C96" s="13" t="n">
        <f aca="false">C90*Assumptions!$B$27</f>
        <v>0</v>
      </c>
      <c r="D96" s="13" t="n">
        <f aca="false">D90*Assumptions!$B$27</f>
        <v>45000</v>
      </c>
      <c r="E96" s="13" t="n">
        <f aca="false">E90*Assumptions!$B$27</f>
        <v>157500</v>
      </c>
      <c r="F96" s="13" t="n">
        <f aca="false">F90*Assumptions!$B$27</f>
        <v>357750</v>
      </c>
      <c r="G96" s="13" t="n">
        <f aca="false">G90*Assumptions!$B$27</f>
        <v>681975</v>
      </c>
    </row>
    <row r="97" customFormat="false" ht="15" hidden="false" customHeight="false" outlineLevel="0" collapsed="false">
      <c r="A97" s="15" t="s">
        <v>154</v>
      </c>
      <c r="C97" s="6" t="n">
        <f aca="false">C91-SUM(C93:C96)</f>
        <v>0</v>
      </c>
      <c r="D97" s="6" t="n">
        <f aca="false">D91-SUM(D93:D96)</f>
        <v>2712500</v>
      </c>
      <c r="E97" s="6" t="n">
        <f aca="false">E91-SUM(E93:E96)</f>
        <v>11247200</v>
      </c>
      <c r="F97" s="6" t="n">
        <f aca="false">F91-SUM(F93:F96)</f>
        <v>29160494.576</v>
      </c>
      <c r="G97" s="6" t="n">
        <f aca="false">G91-SUM(G93:G96)</f>
        <v>61792914.71392</v>
      </c>
    </row>
    <row r="98" customFormat="false" ht="15" hidden="false" customHeight="false" outlineLevel="0" collapsed="false">
      <c r="A98" s="5" t="s">
        <v>155</v>
      </c>
      <c r="C98" s="14" t="n">
        <f aca="false">IF(C91=0,0,C97/C91)</f>
        <v>0</v>
      </c>
      <c r="D98" s="14" t="n">
        <f aca="false">IF(D91=0,0,D97/D91)</f>
        <v>0.370307167235495</v>
      </c>
      <c r="E98" s="14" t="n">
        <f aca="false">IF(E91=0,0,E97/E91)</f>
        <v>0.433626987951807</v>
      </c>
      <c r="F98" s="14" t="n">
        <f aca="false">IF(F91=0,0,F97/F91)</f>
        <v>0.489316840301841</v>
      </c>
      <c r="G98" s="14" t="n">
        <f aca="false">IF(G91=0,0,G97/G91)</f>
        <v>0.538494480137863</v>
      </c>
    </row>
    <row r="99" customFormat="false" ht="15" hidden="false" customHeight="false" outlineLevel="0" collapsed="false">
      <c r="A99" s="5" t="s">
        <v>156</v>
      </c>
      <c r="C99" s="13" t="n">
        <f aca="false">Assumptions!C$36</f>
        <v>800000</v>
      </c>
      <c r="D99" s="13" t="n">
        <f aca="false">Assumptions!D$36*(0.8+0.2*Assumptions!$B$43)</f>
        <v>3920000</v>
      </c>
      <c r="E99" s="13" t="n">
        <f aca="false">Assumptions!E$36*(0.8+0.2*Assumptions!$B$43)</f>
        <v>6720000</v>
      </c>
      <c r="F99" s="13" t="n">
        <f aca="false">Assumptions!F$36*(0.8+0.2*Assumptions!$B$43)</f>
        <v>11200000</v>
      </c>
      <c r="G99" s="13" t="n">
        <f aca="false">Assumptions!G$36*(0.8+0.2*Assumptions!$B$43)</f>
        <v>17920000</v>
      </c>
    </row>
    <row r="100" customFormat="false" ht="15" hidden="false" customHeight="false" outlineLevel="0" collapsed="false">
      <c r="A100" s="9" t="s">
        <v>157</v>
      </c>
      <c r="B100" s="33"/>
      <c r="C100" s="34" t="n">
        <f aca="false">C97-C99</f>
        <v>-800000</v>
      </c>
      <c r="D100" s="34" t="n">
        <f aca="false">D97-D99</f>
        <v>-1207500</v>
      </c>
      <c r="E100" s="34" t="n">
        <f aca="false">E97-E99</f>
        <v>4527200</v>
      </c>
      <c r="F100" s="34" t="n">
        <f aca="false">F97-F99</f>
        <v>17960494.576</v>
      </c>
      <c r="G100" s="34" t="n">
        <f aca="false">G97-G99</f>
        <v>43872914.71392</v>
      </c>
    </row>
    <row r="101" customFormat="false" ht="15" hidden="false" customHeight="false" outlineLevel="0" collapsed="false">
      <c r="A101" s="5" t="s">
        <v>158</v>
      </c>
      <c r="C101" s="13" t="n">
        <f aca="false">C82*(Assumptions!$B$11*Assumptions!$B$12+Assumptions!$B$13*Assumptions!$B$14+Assumptions!$B$15)*(1-Assumptions!$B$20)^0</f>
        <v>0</v>
      </c>
      <c r="D101" s="13" t="n">
        <f aca="false">D82*(Assumptions!$B$11*Assumptions!$B$12+Assumptions!$B$13*Assumptions!$B$14+Assumptions!$B$15)*(1-Assumptions!$B$20)^1</f>
        <v>1521712.5</v>
      </c>
      <c r="E101" s="13" t="n">
        <f aca="false">E82*(Assumptions!$B$11*Assumptions!$B$12+Assumptions!$B$13*Assumptions!$B$14+Assumptions!$B$15)*(1-Assumptions!$B$20)^2</f>
        <v>3679500.825</v>
      </c>
      <c r="F101" s="13" t="n">
        <f aca="false">F82*(Assumptions!$B$11*Assumptions!$B$12+Assumptions!$B$13*Assumptions!$B$14+Assumptions!$B$15)*(1-Assumptions!$B$20)^3</f>
        <v>6317419.878</v>
      </c>
      <c r="G101" s="13" t="n">
        <f aca="false">G82*(Assumptions!$B$11*Assumptions!$B$12+Assumptions!$B$13*Assumptions!$B$14+Assumptions!$B$15)*(1-Assumptions!$B$20)^4</f>
        <v>9792000.8109</v>
      </c>
    </row>
    <row r="102" customFormat="false" ht="15" hidden="false" customHeight="false" outlineLevel="0" collapsed="false">
      <c r="A102" s="32" t="s">
        <v>159</v>
      </c>
    </row>
    <row r="103" customFormat="false" ht="15" hidden="false" customHeight="false" outlineLevel="0" collapsed="false">
      <c r="A103" s="5" t="s">
        <v>160</v>
      </c>
      <c r="C103" s="13" t="n">
        <f aca="false">0</f>
        <v>0</v>
      </c>
      <c r="D103" s="13" t="n">
        <f aca="false">'Deal Terms'!$B$7</f>
        <v>3000000</v>
      </c>
      <c r="E103" s="13" t="n">
        <f aca="false">'Deal Terms'!$B$7+'Deal Terms'!$C$7</f>
        <v>8000000</v>
      </c>
      <c r="F103" s="13" t="n">
        <f aca="false">'Deal Terms'!$B$7+'Deal Terms'!$C$7</f>
        <v>8000000</v>
      </c>
      <c r="G103" s="13" t="n">
        <f aca="false">'Deal Terms'!$B$7+'Deal Terms'!$C$7</f>
        <v>8000000</v>
      </c>
    </row>
    <row r="104" customFormat="false" ht="15" hidden="false" customHeight="false" outlineLevel="0" collapsed="false">
      <c r="A104" s="5" t="s">
        <v>161</v>
      </c>
      <c r="C104" s="13" t="n">
        <f aca="false">(C84*'Deal Terms'!$B$14+C83*'Deal Terms'!$B$15)*0</f>
        <v>0</v>
      </c>
      <c r="D104" s="13" t="n">
        <f aca="false">(D84*'Deal Terms'!$B$14+D83*'Deal Terms'!$B$15)*'Deal Terms'!$B$17</f>
        <v>125000</v>
      </c>
      <c r="E104" s="13" t="n">
        <f aca="false">(E84*'Deal Terms'!$B$14+E83*'Deal Terms'!$B$15)*'Deal Terms'!$B$18</f>
        <v>875000</v>
      </c>
      <c r="F104" s="13" t="n">
        <f aca="false">(F84*'Deal Terms'!$B$14+F83*'Deal Terms'!$B$15)*'Deal Terms'!$B$18</f>
        <v>1987875</v>
      </c>
      <c r="G104" s="13" t="n">
        <f aca="false">(G84*'Deal Terms'!$B$14+G83*'Deal Terms'!$B$15)*'Deal Terms'!$B$18</f>
        <v>3788937.5</v>
      </c>
    </row>
    <row r="105" customFormat="false" ht="15" hidden="false" customHeight="false" outlineLevel="0" collapsed="false">
      <c r="A105" s="5" t="s">
        <v>162</v>
      </c>
      <c r="C105" s="13" t="n">
        <f aca="false">MAX(0,MIN(C104,'Deal Terms'!$B$16*C103-0))</f>
        <v>0</v>
      </c>
      <c r="D105" s="13" t="n">
        <f aca="false">MAX(0,MIN(D104,'Deal Terms'!$B$16*D103-C106))</f>
        <v>125000</v>
      </c>
      <c r="E105" s="13" t="n">
        <f aca="false">MAX(0,MIN(E104,'Deal Terms'!$B$16*E103-D106))</f>
        <v>875000</v>
      </c>
      <c r="F105" s="13" t="n">
        <f aca="false">MAX(0,MIN(F104,'Deal Terms'!$B$16*F103-E106))</f>
        <v>1987875</v>
      </c>
      <c r="G105" s="13" t="n">
        <f aca="false">MAX(0,MIN(G104,'Deal Terms'!$B$16*G103-F106))</f>
        <v>3788937.5</v>
      </c>
    </row>
    <row r="106" customFormat="false" ht="15" hidden="false" customHeight="false" outlineLevel="0" collapsed="false">
      <c r="A106" s="5" t="s">
        <v>163</v>
      </c>
      <c r="C106" s="13" t="n">
        <f aca="false">0+C105</f>
        <v>0</v>
      </c>
      <c r="D106" s="13" t="n">
        <f aca="false">C106+D105</f>
        <v>125000</v>
      </c>
      <c r="E106" s="13" t="n">
        <f aca="false">D106+E105</f>
        <v>1000000</v>
      </c>
      <c r="F106" s="13" t="n">
        <f aca="false">E106+F105</f>
        <v>2987875</v>
      </c>
      <c r="G106" s="13" t="n">
        <f aca="false">F106+G105</f>
        <v>6776812.5</v>
      </c>
    </row>
    <row r="107" customFormat="false" ht="15" hidden="false" customHeight="false" outlineLevel="0" collapsed="false">
      <c r="A107" s="5" t="s">
        <v>164</v>
      </c>
      <c r="C107" s="13" t="n">
        <f aca="false">'Deal Terms'!$B$7</f>
        <v>3000000</v>
      </c>
      <c r="D107" s="13" t="n">
        <f aca="false">'Deal Terms'!$C$7</f>
        <v>5000000</v>
      </c>
      <c r="E107" s="13" t="n">
        <f aca="false">0</f>
        <v>0</v>
      </c>
      <c r="F107" s="13" t="n">
        <f aca="false">0</f>
        <v>0</v>
      </c>
      <c r="G107" s="13" t="n">
        <f aca="false">0</f>
        <v>0</v>
      </c>
    </row>
    <row r="108" customFormat="false" ht="15" hidden="false" customHeight="false" outlineLevel="0" collapsed="false">
      <c r="A108" s="32" t="s">
        <v>165</v>
      </c>
    </row>
    <row r="109" customFormat="false" ht="15" hidden="false" customHeight="false" outlineLevel="0" collapsed="false">
      <c r="A109" s="5" t="s">
        <v>88</v>
      </c>
      <c r="C109" s="13" t="n">
        <f aca="false">Assumptions!$B$32</f>
        <v>800000</v>
      </c>
      <c r="D109" s="13" t="n">
        <f aca="false">0</f>
        <v>0</v>
      </c>
      <c r="E109" s="13" t="n">
        <f aca="false">0</f>
        <v>0</v>
      </c>
      <c r="F109" s="13" t="n">
        <f aca="false">0</f>
        <v>0</v>
      </c>
      <c r="G109" s="13" t="n">
        <f aca="false">0</f>
        <v>0</v>
      </c>
    </row>
    <row r="110" customFormat="false" ht="15" hidden="false" customHeight="false" outlineLevel="0" collapsed="false">
      <c r="A110" s="5" t="s">
        <v>166</v>
      </c>
      <c r="C110" s="13" t="n">
        <f aca="false">0+C109+C100-C101-C105</f>
        <v>0</v>
      </c>
      <c r="D110" s="13" t="n">
        <f aca="false">C110+D109+D100-D101-D105</f>
        <v>-2854212.5</v>
      </c>
      <c r="E110" s="13" t="n">
        <f aca="false">D110+E109+E100-E101-E105</f>
        <v>-2881513.325</v>
      </c>
      <c r="F110" s="13" t="n">
        <f aca="false">E110+F109+F100-F101-F105</f>
        <v>6773686.373</v>
      </c>
      <c r="G110" s="13" t="n">
        <f aca="false">F110+G109+G100-G101-G105</f>
        <v>37065662.77602</v>
      </c>
    </row>
    <row r="111" customFormat="false" ht="15" hidden="false" customHeight="false" outlineLevel="0" collapsed="false">
      <c r="A111" s="5" t="s">
        <v>167</v>
      </c>
      <c r="C111" s="13" t="n">
        <f aca="false">0+C109+C100-C101-C105</f>
        <v>0</v>
      </c>
      <c r="D111" s="13" t="n">
        <f aca="false">C113+D109+D100-D101-D105</f>
        <v>145787.5</v>
      </c>
      <c r="E111" s="13" t="n">
        <f aca="false">D113+E109+E100-E101-E105</f>
        <v>5118486.675</v>
      </c>
      <c r="F111" s="13" t="n">
        <f aca="false">E113+F109+F100-F101-F105</f>
        <v>14773686.373</v>
      </c>
      <c r="G111" s="13" t="n">
        <f aca="false">F113+G109+G100-G101-G105</f>
        <v>45065662.77602</v>
      </c>
    </row>
    <row r="112" customFormat="false" ht="15" hidden="false" customHeight="false" outlineLevel="0" collapsed="false">
      <c r="A112" s="5" t="s">
        <v>168</v>
      </c>
      <c r="C112" s="13" t="n">
        <f aca="false">MAX(0,-C111)</f>
        <v>-0</v>
      </c>
      <c r="D112" s="13" t="n">
        <f aca="false">MAX(0,-D111)</f>
        <v>0</v>
      </c>
      <c r="E112" s="13" t="n">
        <f aca="false">MAX(0,-E111)</f>
        <v>0</v>
      </c>
      <c r="F112" s="13" t="n">
        <f aca="false">MAX(0,-F111)</f>
        <v>0</v>
      </c>
      <c r="G112" s="13" t="n">
        <f aca="false">MAX(0,-G111)</f>
        <v>0</v>
      </c>
    </row>
    <row r="113" customFormat="false" ht="15" hidden="false" customHeight="false" outlineLevel="0" collapsed="false">
      <c r="A113" s="9" t="s">
        <v>169</v>
      </c>
      <c r="B113" s="33"/>
      <c r="C113" s="34" t="n">
        <f aca="false">C111+C107+C112</f>
        <v>3000000</v>
      </c>
      <c r="D113" s="34" t="n">
        <f aca="false">D111+D107+D112</f>
        <v>5145787.5</v>
      </c>
      <c r="E113" s="34" t="n">
        <f aca="false">E111+E107+E112</f>
        <v>5118486.675</v>
      </c>
      <c r="F113" s="34" t="n">
        <f aca="false">F111+F107+F112</f>
        <v>14773686.373</v>
      </c>
      <c r="G113" s="34" t="n">
        <f aca="false">G111+G107+G112</f>
        <v>45065662.77602</v>
      </c>
    </row>
    <row r="114" customFormat="false" ht="15" hidden="false" customHeight="false" outlineLevel="0" collapsed="false">
      <c r="A114" s="32" t="s">
        <v>170</v>
      </c>
    </row>
    <row r="115" customFormat="false" ht="15" hidden="false" customHeight="false" outlineLevel="0" collapsed="false">
      <c r="A115" s="5" t="s">
        <v>171</v>
      </c>
      <c r="C115" s="13" t="n">
        <f aca="false">0+C112</f>
        <v>0</v>
      </c>
      <c r="D115" s="13" t="n">
        <f aca="false">C115+D112</f>
        <v>0</v>
      </c>
      <c r="E115" s="13" t="n">
        <f aca="false">D115+E112</f>
        <v>0</v>
      </c>
      <c r="F115" s="13" t="n">
        <f aca="false">E115+F112</f>
        <v>0</v>
      </c>
      <c r="G115" s="13" t="n">
        <f aca="false">F115+G112</f>
        <v>0</v>
      </c>
    </row>
    <row r="116" customFormat="false" ht="15" hidden="false" customHeight="false" outlineLevel="0" collapsed="false">
      <c r="A116" s="5" t="s">
        <v>22</v>
      </c>
      <c r="C116" s="14" t="n">
        <f aca="false">'Deal Terms'!$B$11*(1-C115/('Deal Terms'!$C$8+C115))</f>
        <v>0.0981333333333334</v>
      </c>
      <c r="D116" s="14" t="n">
        <f aca="false">'Deal Terms'!$B$11*(1-D115/('Deal Terms'!$C$8+D115))</f>
        <v>0.0981333333333334</v>
      </c>
      <c r="E116" s="14" t="n">
        <f aca="false">'Deal Terms'!$B$11*(1-E115/('Deal Terms'!$C$8+E115))</f>
        <v>0.0981333333333334</v>
      </c>
      <c r="F116" s="14" t="n">
        <f aca="false">'Deal Terms'!$B$11*(1-F115/('Deal Terms'!$C$8+F115))</f>
        <v>0.0981333333333334</v>
      </c>
      <c r="G116" s="14" t="n">
        <f aca="false">'Deal Terms'!$B$11*(1-G115/('Deal Terms'!$C$8+G115))</f>
        <v>0.0981333333333334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7" min="3" style="0" width="15"/>
  </cols>
  <sheetData>
    <row r="1" customFormat="false" ht="16.1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" t="s">
        <v>138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29"/>
      <c r="B5" s="29"/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</row>
    <row r="6" customFormat="false" ht="15" hidden="false" customHeight="false" outlineLevel="0" collapsed="false">
      <c r="A6" s="5" t="s">
        <v>176</v>
      </c>
      <c r="C6" s="13" t="n">
        <f aca="false">-Projections!C31</f>
        <v>-3000000</v>
      </c>
      <c r="D6" s="13" t="n">
        <f aca="false">-Projections!D31</f>
        <v>-5000000</v>
      </c>
      <c r="E6" s="13" t="n">
        <f aca="false">-Projections!E31</f>
        <v>-0</v>
      </c>
      <c r="F6" s="13" t="n">
        <f aca="false">-Projections!F31</f>
        <v>-0</v>
      </c>
      <c r="G6" s="13" t="n">
        <f aca="false">-Projections!G31</f>
        <v>-0</v>
      </c>
    </row>
    <row r="7" customFormat="false" ht="15" hidden="false" customHeight="false" outlineLevel="0" collapsed="false">
      <c r="A7" s="5" t="s">
        <v>177</v>
      </c>
      <c r="C7" s="13" t="n">
        <f aca="false">Projections!C29</f>
        <v>0</v>
      </c>
      <c r="D7" s="13" t="n">
        <f aca="false">Projections!D29</f>
        <v>50000</v>
      </c>
      <c r="E7" s="13" t="n">
        <f aca="false">Projections!E29</f>
        <v>290000</v>
      </c>
      <c r="F7" s="13" t="n">
        <f aca="false">Projections!F29</f>
        <v>661000</v>
      </c>
      <c r="G7" s="13" t="n">
        <f aca="false">Projections!G29</f>
        <v>1244975</v>
      </c>
    </row>
    <row r="8" customFormat="false" ht="15" hidden="false" customHeight="false" outlineLevel="0" collapsed="false">
      <c r="A8" s="5" t="s">
        <v>178</v>
      </c>
      <c r="C8" s="13" t="n">
        <f aca="false">0</f>
        <v>0</v>
      </c>
      <c r="D8" s="13" t="n">
        <f aca="false">0</f>
        <v>0</v>
      </c>
      <c r="E8" s="13" t="n">
        <f aca="false">0</f>
        <v>0</v>
      </c>
      <c r="F8" s="13" t="n">
        <f aca="false">0</f>
        <v>0</v>
      </c>
      <c r="G8" s="13" t="n">
        <f aca="false">Projections!G15*Assumptions!$C$41*Projections!G40</f>
        <v>7406884.18133333</v>
      </c>
    </row>
    <row r="9" customFormat="false" ht="15" hidden="false" customHeight="false" outlineLevel="0" collapsed="false">
      <c r="A9" s="15" t="s">
        <v>179</v>
      </c>
      <c r="C9" s="6" t="n">
        <f aca="false">SUM(C6:C8)</f>
        <v>-3000000</v>
      </c>
      <c r="D9" s="6" t="n">
        <f aca="false">SUM(D6:D8)</f>
        <v>-4950000</v>
      </c>
      <c r="E9" s="6" t="n">
        <f aca="false">SUM(E6:E8)</f>
        <v>290000</v>
      </c>
      <c r="F9" s="6" t="n">
        <f aca="false">SUM(F6:F8)</f>
        <v>661000</v>
      </c>
      <c r="G9" s="6" t="n">
        <f aca="false">SUM(G6:G8)</f>
        <v>8651859.18133333</v>
      </c>
    </row>
    <row r="11" customFormat="false" ht="15" hidden="false" customHeight="false" outlineLevel="0" collapsed="false">
      <c r="A11" s="5" t="s">
        <v>180</v>
      </c>
      <c r="B11" s="13" t="n">
        <f aca="false">-SUM(C6:G6)</f>
        <v>8000000</v>
      </c>
    </row>
    <row r="12" customFormat="false" ht="15" hidden="false" customHeight="false" outlineLevel="0" collapsed="false">
      <c r="A12" s="5" t="s">
        <v>181</v>
      </c>
      <c r="B12" s="13" t="n">
        <f aca="false">SUM(C7:G7)</f>
        <v>2245975</v>
      </c>
    </row>
    <row r="13" customFormat="false" ht="15" hidden="false" customHeight="false" outlineLevel="0" collapsed="false">
      <c r="A13" s="5" t="s">
        <v>182</v>
      </c>
      <c r="B13" s="13" t="n">
        <f aca="false">G8</f>
        <v>7406884.18133333</v>
      </c>
    </row>
    <row r="14" customFormat="false" ht="15" hidden="false" customHeight="false" outlineLevel="0" collapsed="false">
      <c r="A14" s="15" t="s">
        <v>183</v>
      </c>
      <c r="B14" s="8" t="n">
        <f aca="false">(B12+B13)/B11</f>
        <v>1.20660739766667</v>
      </c>
    </row>
    <row r="15" customFormat="false" ht="15" hidden="false" customHeight="false" outlineLevel="0" collapsed="false">
      <c r="A15" s="15" t="s">
        <v>184</v>
      </c>
      <c r="B15" s="7" t="n">
        <f aca="false">IRR(C9:G9)</f>
        <v>0.0598452031386095</v>
      </c>
    </row>
    <row r="16" customFormat="false" ht="15" hidden="false" customHeight="false" outlineLevel="0" collapsed="false">
      <c r="A16" s="5" t="s">
        <v>185</v>
      </c>
      <c r="B16" s="5" t="str">
        <f aca="false">IF(B12&gt;=B11-1,"By Y5","After Y5")</f>
        <v>After Y5</v>
      </c>
    </row>
    <row r="17" customFormat="false" ht="15" hidden="false" customHeight="false" outlineLevel="0" collapsed="false">
      <c r="A17" s="5" t="s">
        <v>186</v>
      </c>
      <c r="B17" s="16" t="n">
        <f aca="false">B12/B11</f>
        <v>0.280746875</v>
      </c>
    </row>
    <row r="18" customFormat="false" ht="15" hidden="false" customHeight="false" outlineLevel="0" collapsed="false">
      <c r="A18" s="5" t="s">
        <v>187</v>
      </c>
      <c r="C18" s="13" t="n">
        <f aca="false">C6+C7</f>
        <v>-3000000</v>
      </c>
      <c r="D18" s="13" t="n">
        <f aca="false">D6+D7</f>
        <v>-4950000</v>
      </c>
      <c r="E18" s="13" t="n">
        <f aca="false">E6+E7</f>
        <v>290000</v>
      </c>
      <c r="F18" s="13" t="n">
        <f aca="false">F6+F7</f>
        <v>661000</v>
      </c>
      <c r="G18" s="13" t="n">
        <f aca="false">G6+G7</f>
        <v>1244975</v>
      </c>
    </row>
    <row r="19" customFormat="false" ht="15" hidden="false" customHeight="false" outlineLevel="0" collapsed="false">
      <c r="A19" s="5" t="s">
        <v>188</v>
      </c>
      <c r="B19" s="14" t="n">
        <f aca="false">IFERROR(IRR(C18:G18,-0.2),"n/a")</f>
        <v>-0.361730076795754</v>
      </c>
    </row>
    <row r="21" customFormat="false" ht="15" hidden="false" customHeight="false" outlineLevel="0" collapsed="false">
      <c r="A21" s="3" t="s">
        <v>172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29"/>
      <c r="B22" s="29"/>
      <c r="C22" s="10" t="s">
        <v>91</v>
      </c>
      <c r="D22" s="10" t="s">
        <v>92</v>
      </c>
      <c r="E22" s="10" t="s">
        <v>93</v>
      </c>
      <c r="F22" s="10" t="s">
        <v>94</v>
      </c>
      <c r="G22" s="10" t="s">
        <v>95</v>
      </c>
    </row>
    <row r="23" customFormat="false" ht="15" hidden="false" customHeight="false" outlineLevel="0" collapsed="false">
      <c r="A23" s="5" t="s">
        <v>176</v>
      </c>
      <c r="C23" s="13" t="n">
        <f aca="false">-Projections!C69</f>
        <v>-3000000</v>
      </c>
      <c r="D23" s="13" t="n">
        <f aca="false">-Projections!D69</f>
        <v>-5000000</v>
      </c>
      <c r="E23" s="13" t="n">
        <f aca="false">-Projections!E69</f>
        <v>-0</v>
      </c>
      <c r="F23" s="13" t="n">
        <f aca="false">-Projections!F69</f>
        <v>-0</v>
      </c>
      <c r="G23" s="13" t="n">
        <f aca="false">-Projections!G69</f>
        <v>-0</v>
      </c>
    </row>
    <row r="24" customFormat="false" ht="15" hidden="false" customHeight="false" outlineLevel="0" collapsed="false">
      <c r="A24" s="5" t="s">
        <v>177</v>
      </c>
      <c r="C24" s="13" t="n">
        <f aca="false">Projections!C67</f>
        <v>0</v>
      </c>
      <c r="D24" s="13" t="n">
        <f aca="false">Projections!D67</f>
        <v>75000</v>
      </c>
      <c r="E24" s="13" t="n">
        <f aca="false">Projections!E67</f>
        <v>535000</v>
      </c>
      <c r="F24" s="13" t="n">
        <f aca="false">Projections!F67</f>
        <v>1231875</v>
      </c>
      <c r="G24" s="13" t="n">
        <f aca="false">Projections!G67</f>
        <v>2358087.5</v>
      </c>
    </row>
    <row r="25" customFormat="false" ht="15" hidden="false" customHeight="false" outlineLevel="0" collapsed="false">
      <c r="A25" s="5" t="s">
        <v>178</v>
      </c>
      <c r="C25" s="13" t="n">
        <f aca="false">0</f>
        <v>0</v>
      </c>
      <c r="D25" s="13" t="n">
        <f aca="false">0</f>
        <v>0</v>
      </c>
      <c r="E25" s="13" t="n">
        <f aca="false">0</f>
        <v>0</v>
      </c>
      <c r="F25" s="13" t="n">
        <f aca="false">0</f>
        <v>0</v>
      </c>
      <c r="G25" s="13" t="n">
        <f aca="false">Projections!G53*Assumptions!$C$42*Projections!G78</f>
        <v>21018002.048</v>
      </c>
    </row>
    <row r="26" customFormat="false" ht="15" hidden="false" customHeight="false" outlineLevel="0" collapsed="false">
      <c r="A26" s="15" t="s">
        <v>179</v>
      </c>
      <c r="C26" s="6" t="n">
        <f aca="false">SUM(C23:C25)</f>
        <v>-3000000</v>
      </c>
      <c r="D26" s="6" t="n">
        <f aca="false">SUM(D23:D25)</f>
        <v>-4925000</v>
      </c>
      <c r="E26" s="6" t="n">
        <f aca="false">SUM(E23:E25)</f>
        <v>535000</v>
      </c>
      <c r="F26" s="6" t="n">
        <f aca="false">SUM(F23:F25)</f>
        <v>1231875</v>
      </c>
      <c r="G26" s="6" t="n">
        <f aca="false">SUM(G23:G25)</f>
        <v>23376089.548</v>
      </c>
    </row>
    <row r="28" customFormat="false" ht="15" hidden="false" customHeight="false" outlineLevel="0" collapsed="false">
      <c r="A28" s="5" t="s">
        <v>180</v>
      </c>
      <c r="B28" s="13" t="n">
        <f aca="false">-SUM(C23:G23)</f>
        <v>8000000</v>
      </c>
    </row>
    <row r="29" customFormat="false" ht="15" hidden="false" customHeight="false" outlineLevel="0" collapsed="false">
      <c r="A29" s="5" t="s">
        <v>181</v>
      </c>
      <c r="B29" s="13" t="n">
        <f aca="false">SUM(C24:G24)</f>
        <v>4199962.5</v>
      </c>
    </row>
    <row r="30" customFormat="false" ht="15" hidden="false" customHeight="false" outlineLevel="0" collapsed="false">
      <c r="A30" s="5" t="s">
        <v>182</v>
      </c>
      <c r="B30" s="13" t="n">
        <f aca="false">G25</f>
        <v>21018002.048</v>
      </c>
    </row>
    <row r="31" customFormat="false" ht="15" hidden="false" customHeight="false" outlineLevel="0" collapsed="false">
      <c r="A31" s="15" t="s">
        <v>183</v>
      </c>
      <c r="B31" s="8" t="n">
        <f aca="false">(B29+B30)/B28</f>
        <v>3.1522455685</v>
      </c>
    </row>
    <row r="32" customFormat="false" ht="15" hidden="false" customHeight="false" outlineLevel="0" collapsed="false">
      <c r="A32" s="15" t="s">
        <v>184</v>
      </c>
      <c r="B32" s="7" t="n">
        <f aca="false">IRR(C26:G26)</f>
        <v>0.418447718096162</v>
      </c>
    </row>
    <row r="33" customFormat="false" ht="15" hidden="false" customHeight="false" outlineLevel="0" collapsed="false">
      <c r="A33" s="5" t="s">
        <v>185</v>
      </c>
      <c r="B33" s="5" t="str">
        <f aca="false">IF(B29&gt;=B28-1,"By Y5","After Y5")</f>
        <v>After Y5</v>
      </c>
    </row>
    <row r="34" customFormat="false" ht="15" hidden="false" customHeight="false" outlineLevel="0" collapsed="false">
      <c r="A34" s="5" t="s">
        <v>186</v>
      </c>
      <c r="B34" s="16" t="n">
        <f aca="false">B29/B28</f>
        <v>0.5249953125</v>
      </c>
    </row>
    <row r="35" customFormat="false" ht="15" hidden="false" customHeight="false" outlineLevel="0" collapsed="false">
      <c r="A35" s="5" t="s">
        <v>187</v>
      </c>
      <c r="C35" s="13" t="n">
        <f aca="false">C23+C24</f>
        <v>-3000000</v>
      </c>
      <c r="D35" s="13" t="n">
        <f aca="false">D23+D24</f>
        <v>-4925000</v>
      </c>
      <c r="E35" s="13" t="n">
        <f aca="false">E23+E24</f>
        <v>535000</v>
      </c>
      <c r="F35" s="13" t="n">
        <f aca="false">F23+F24</f>
        <v>1231875</v>
      </c>
      <c r="G35" s="13" t="n">
        <f aca="false">G23+G24</f>
        <v>2358087.5</v>
      </c>
    </row>
    <row r="36" customFormat="false" ht="15" hidden="false" customHeight="false" outlineLevel="0" collapsed="false">
      <c r="A36" s="5" t="s">
        <v>188</v>
      </c>
      <c r="B36" s="14" t="n">
        <f aca="false">IFERROR(IRR(C35:G35,-0.2),"n/a")</f>
        <v>-0.204805876489459</v>
      </c>
    </row>
    <row r="38" customFormat="false" ht="15" hidden="false" customHeight="false" outlineLevel="0" collapsed="false">
      <c r="A38" s="3" t="s">
        <v>173</v>
      </c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29"/>
      <c r="B39" s="29"/>
      <c r="C39" s="10" t="s">
        <v>91</v>
      </c>
      <c r="D39" s="10" t="s">
        <v>92</v>
      </c>
      <c r="E39" s="10" t="s">
        <v>93</v>
      </c>
      <c r="F39" s="10" t="s">
        <v>94</v>
      </c>
      <c r="G39" s="10" t="s">
        <v>95</v>
      </c>
    </row>
    <row r="40" customFormat="false" ht="15" hidden="false" customHeight="false" outlineLevel="0" collapsed="false">
      <c r="A40" s="5" t="s">
        <v>176</v>
      </c>
      <c r="C40" s="13" t="n">
        <f aca="false">-Projections!C107</f>
        <v>-3000000</v>
      </c>
      <c r="D40" s="13" t="n">
        <f aca="false">-Projections!D107</f>
        <v>-5000000</v>
      </c>
      <c r="E40" s="13" t="n">
        <f aca="false">-Projections!E107</f>
        <v>-0</v>
      </c>
      <c r="F40" s="13" t="n">
        <f aca="false">-Projections!F107</f>
        <v>-0</v>
      </c>
      <c r="G40" s="13" t="n">
        <f aca="false">-Projections!G107</f>
        <v>-0</v>
      </c>
    </row>
    <row r="41" customFormat="false" ht="15" hidden="false" customHeight="false" outlineLevel="0" collapsed="false">
      <c r="A41" s="5" t="s">
        <v>177</v>
      </c>
      <c r="C41" s="13" t="n">
        <f aca="false">Projections!C105</f>
        <v>0</v>
      </c>
      <c r="D41" s="13" t="n">
        <f aca="false">Projections!D105</f>
        <v>125000</v>
      </c>
      <c r="E41" s="13" t="n">
        <f aca="false">Projections!E105</f>
        <v>875000</v>
      </c>
      <c r="F41" s="13" t="n">
        <f aca="false">Projections!F105</f>
        <v>1987875</v>
      </c>
      <c r="G41" s="13" t="n">
        <f aca="false">Projections!G105</f>
        <v>3788937.5</v>
      </c>
    </row>
    <row r="42" customFormat="false" ht="15" hidden="false" customHeight="false" outlineLevel="0" collapsed="false">
      <c r="A42" s="5" t="s">
        <v>178</v>
      </c>
      <c r="C42" s="13" t="n">
        <f aca="false">0</f>
        <v>0</v>
      </c>
      <c r="D42" s="13" t="n">
        <f aca="false">0</f>
        <v>0</v>
      </c>
      <c r="E42" s="13" t="n">
        <f aca="false">0</f>
        <v>0</v>
      </c>
      <c r="F42" s="13" t="n">
        <f aca="false">0</f>
        <v>0</v>
      </c>
      <c r="G42" s="13" t="n">
        <f aca="false">Projections!G91*Assumptions!$C$43*Projections!G116</f>
        <v>45043690.6666667</v>
      </c>
    </row>
    <row r="43" customFormat="false" ht="15" hidden="false" customHeight="false" outlineLevel="0" collapsed="false">
      <c r="A43" s="15" t="s">
        <v>179</v>
      </c>
      <c r="C43" s="6" t="n">
        <f aca="false">SUM(C40:C42)</f>
        <v>-3000000</v>
      </c>
      <c r="D43" s="6" t="n">
        <f aca="false">SUM(D40:D42)</f>
        <v>-4875000</v>
      </c>
      <c r="E43" s="6" t="n">
        <f aca="false">SUM(E40:E42)</f>
        <v>875000</v>
      </c>
      <c r="F43" s="6" t="n">
        <f aca="false">SUM(F40:F42)</f>
        <v>1987875</v>
      </c>
      <c r="G43" s="6" t="n">
        <f aca="false">SUM(G40:G42)</f>
        <v>48832628.1666667</v>
      </c>
    </row>
    <row r="45" customFormat="false" ht="15" hidden="false" customHeight="false" outlineLevel="0" collapsed="false">
      <c r="A45" s="5" t="s">
        <v>180</v>
      </c>
      <c r="B45" s="13" t="n">
        <f aca="false">-SUM(C40:G40)</f>
        <v>8000000</v>
      </c>
    </row>
    <row r="46" customFormat="false" ht="15" hidden="false" customHeight="false" outlineLevel="0" collapsed="false">
      <c r="A46" s="5" t="s">
        <v>181</v>
      </c>
      <c r="B46" s="13" t="n">
        <f aca="false">SUM(C41:G41)</f>
        <v>6776812.5</v>
      </c>
    </row>
    <row r="47" customFormat="false" ht="15" hidden="false" customHeight="false" outlineLevel="0" collapsed="false">
      <c r="A47" s="5" t="s">
        <v>182</v>
      </c>
      <c r="B47" s="13" t="n">
        <f aca="false">G42</f>
        <v>45043690.6666667</v>
      </c>
    </row>
    <row r="48" customFormat="false" ht="15" hidden="false" customHeight="false" outlineLevel="0" collapsed="false">
      <c r="A48" s="15" t="s">
        <v>183</v>
      </c>
      <c r="B48" s="8" t="n">
        <f aca="false">(B46+B47)/B45</f>
        <v>6.47756289583333</v>
      </c>
    </row>
    <row r="49" customFormat="false" ht="15" hidden="false" customHeight="false" outlineLevel="0" collapsed="false">
      <c r="A49" s="15" t="s">
        <v>184</v>
      </c>
      <c r="B49" s="7" t="n">
        <f aca="false">IRR(C43:G43)</f>
        <v>0.756953841032756</v>
      </c>
    </row>
    <row r="50" customFormat="false" ht="15" hidden="false" customHeight="false" outlineLevel="0" collapsed="false">
      <c r="A50" s="5" t="s">
        <v>185</v>
      </c>
      <c r="B50" s="5" t="str">
        <f aca="false">IF(B46&gt;=B45-1,"By Y5","After Y5")</f>
        <v>After Y5</v>
      </c>
    </row>
    <row r="51" customFormat="false" ht="15" hidden="false" customHeight="false" outlineLevel="0" collapsed="false">
      <c r="A51" s="5" t="s">
        <v>186</v>
      </c>
      <c r="B51" s="16" t="n">
        <f aca="false">B46/B45</f>
        <v>0.8471015625</v>
      </c>
    </row>
    <row r="52" customFormat="false" ht="15" hidden="false" customHeight="false" outlineLevel="0" collapsed="false">
      <c r="A52" s="5" t="s">
        <v>187</v>
      </c>
      <c r="C52" s="13" t="n">
        <f aca="false">C40+C41</f>
        <v>-3000000</v>
      </c>
      <c r="D52" s="13" t="n">
        <f aca="false">D40+D41</f>
        <v>-4875000</v>
      </c>
      <c r="E52" s="13" t="n">
        <f aca="false">E40+E41</f>
        <v>875000</v>
      </c>
      <c r="F52" s="13" t="n">
        <f aca="false">F40+F41</f>
        <v>1987875</v>
      </c>
      <c r="G52" s="13" t="n">
        <f aca="false">G40+G41</f>
        <v>3788937.5</v>
      </c>
    </row>
    <row r="53" customFormat="false" ht="15" hidden="false" customHeight="false" outlineLevel="0" collapsed="false">
      <c r="A53" s="5" t="s">
        <v>188</v>
      </c>
      <c r="B53" s="14" t="n">
        <f aca="false">IFERROR(IRR(C52:G52,-0.2),"n/a")</f>
        <v>-0.0579629737385882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2026-09-28T11:49:52Z</dcterms:created>
  <dc:creator>openpyxl</dc:creator>
  <dc:description/>
  <dc:language>en-US</dc:language>
  <cp:lastModifiedBy/>
  <dcterms:modified xsi:type="dcterms:W3CDTF">2026-09-28T11:49:52Z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