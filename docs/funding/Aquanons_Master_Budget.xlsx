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Budg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<sst xmlns="http://schemas.openxmlformats.org/spreadsheetml/2006/main" count="461" uniqueCount="300">
  <si>
    <t xml:space="preserve">AqOne — Line Item Budget (DOST Format)</t>
  </si>
  <si>
    <t xml:space="preserve">Aquanons / Aklan State University · 1-Year Project Duration · Prepared August 2026, revised 28 September 2026 · DRAFT for ASU Research Department review</t>
  </si>
  <si>
    <t xml:space="preserve">USD → PHP exchange rate (BSP reference, 25 Sep 2026)</t>
  </si>
  <si>
    <t xml:space="preserve">← Edit this cell; all USD lines recalculate</t>
  </si>
  <si>
    <t xml:space="preserve">Hourly labor rate (PHP/hr, RBVI-29)</t>
  </si>
  <si>
    <t xml:space="preserve">← Region VI minimum wage: ₱525/day ÷ 8 hrs. Drives all PS lines.</t>
  </si>
  <si>
    <t xml:space="preserve">Buoy relay nodes (units)</t>
  </si>
  <si>
    <t xml:space="preserve">← Planning assumption pending LGU consultation. Drives B.1.1-B.1.7.</t>
  </si>
  <si>
    <t xml:space="preserve">Boat pods (units)</t>
  </si>
  <si>
    <t xml:space="preserve">← 20 deployed + 2 spares (at least 20 participating boats). Drives B.1.8.</t>
  </si>
  <si>
    <t xml:space="preserve">Shore gateways (units)</t>
  </si>
  <si>
    <t xml:space="preserve">← Primary + redundant site. Drives B.1.9 and the gateway SIMs.</t>
  </si>
  <si>
    <t xml:space="preserve">A. PERSONAL SERVICES (PS)</t>
  </si>
  <si>
    <t xml:space="preserve">Item</t>
  </si>
  <si>
    <t xml:space="preserve">Justification / Basis</t>
  </si>
  <si>
    <t xml:space="preserve">Qty</t>
  </si>
  <si>
    <t xml:space="preserve">Unit Cost</t>
  </si>
  <si>
    <t xml:space="preserve">Currency</t>
  </si>
  <si>
    <t xml:space="preserve">Total (PHP)</t>
  </si>
  <si>
    <t xml:space="preserve">Lead student researcher stipend (technical lead: backend, architecture, and deployment)</t>
  </si>
  <si>
    <t xml:space="preserve">1 lead student researcher × 20 hrs/week × 52 weeks = 1,040 hours at the hourly labor rate in B5 (≈₱5,688/month). Lenard: backend, architecture, and deployment, plus technical integration and overall project leadership. Double the member allocation reflects the added integration and leadership scope.</t>
  </si>
  <si>
    <t xml:space="preserve">PHP</t>
  </si>
  <si>
    <t xml:space="preserve">Student researcher stipends (technical + business)</t>
  </si>
  <si>
    <t xml:space="preserve">5 student researchers × 10 hrs/week × 52 weeks = 2,600 hours at the hourly labor rate in B5 (≈₱2,844/month each). Technical: Arnold (website dashboard), Daniel (hardware and buoy firmware), Jade (Flutter application). Business: Doreen Kay (pitching, company branding, and business direction), KC Condes (pitching and business development support). With the lead student researcher, the team is 4 technical + 2 business members.</t>
  </si>
  <si>
    <t xml:space="preserve">Subtotal — Personal Services</t>
  </si>
  <si>
    <t xml:space="preserve">REVISED FROM PRIOR DRAFT (28 Sep 2026): the flat ₱3,000/month × 6 members × 12 months is replaced with an hourly valuation. BASIS: Region VI minimum wage under Wage Order No. RBVI-29 (effective 19 Nov 2025, covers Aklan), ₱525/day for non-agricultural establishments with 10 or fewer workers ÷ 8 hours = ₱65.625/hr, rounded to ₱65.63 (cell B5). Hours are assumed yearly averages; actual hours will be tracked in a contribution log. ASSUMPTION TO CONFIRM: that this rate basis, the lead student researcher differential, and the two business-side roles are allowable under DOST/ASU personnel rules.</t>
  </si>
  <si>
    <t xml:space="preserve">B. MAINTENANCE AND OTHER OPERATING EXPENSES (MOOE)</t>
  </si>
  <si>
    <t xml:space="preserve">B.1  Supplies and Materials - Buoy Relay Nodes, Boat Pods, and Shore Gateways</t>
  </si>
  <si>
    <t xml:space="preserve">B.1.1  BUOY RELAY NODE - POWER</t>
  </si>
  <si>
    <t xml:space="preserve">Subsystem note: charges and stores energy for the node. Solar + battery is the only power source on a buoy (~4 days without sun). Cost per node: ₱24,700. Prices: Clip-on Node BOM, PH supplier estimates, Sep 2026.</t>
  </si>
  <si>
    <t xml:space="preserve">1.1  Solar panel — 100 W marine monocrystalline</t>
  </si>
  <si>
    <t xml:space="preserve">Main energy source for the buoy node. 1 per node.</t>
  </si>
  <si>
    <t xml:space="preserve">1.2  MPPT charge controller — Victron SmartSolar MPPT 75/10</t>
  </si>
  <si>
    <t xml:space="preserve">Charges the battery from solar; low-voltage load disconnect protects the battery. 1 per node.</t>
  </si>
  <si>
    <t xml:space="preserve">1.3  Battery — 12V 50Ah LiFePO4 with built-in BMS</t>
  </si>
  <si>
    <t xml:space="preserve">Stores energy for ~4 days without sun; tolerates heat. 1 per node.</t>
  </si>
  <si>
    <t xml:space="preserve">1.4  Waterproof inline fuse holder + fuse</t>
  </si>
  <si>
    <t xml:space="preserve">Protects the panel (10A) and load (5A) circuits. 2 per node.</t>
  </si>
  <si>
    <t xml:space="preserve">1.5  DC-DC buck converter — 12V to 5V, 3A, waterproof</t>
  </si>
  <si>
    <t xml:space="preserve">Supplies the LoRa node and GPS from the 12V system. 1 per node.</t>
  </si>
  <si>
    <t xml:space="preserve">1.6  Marine wiring set — tinned 14/16 AWG wire, lugs, heat-shrink</t>
  </si>
  <si>
    <t xml:space="preserve">Corrosion-resistant internal wiring. 1 set per node.</t>
  </si>
  <si>
    <t xml:space="preserve">B.1.2  BUOY RELAY NODE - COMMUNICATIONS</t>
  </si>
  <si>
    <t xml:space="preserve">Subsystem note: Wi-Fi hotspot for fishermen's phones plus the LoRa relay link to shore and other nodes. Replaces the prior Heltec V3 and 915 MHz antenna lines. Cost per node: ₱21,400. CONFIRM the operational purpose of the buoy Wi-Fi package (2.1-2.5, ₱14,100 per node, ₱42,300 for 3) before procurement: it serves phones on nearby boats that have no pod. Review after the coverage survey.</t>
  </si>
  <si>
    <t xml:space="preserve">2.1  Wi-Fi access point — MikroTik BaseBox 2 (RB912UAG-2HPnD-OUT)</t>
  </si>
  <si>
    <t xml:space="preserve">Outdoor 2.4 GHz hotspot with external antenna ports. 1 per node.</t>
  </si>
  <si>
    <t xml:space="preserve">2.2  Passive PoE injector — 12V</t>
  </si>
  <si>
    <t xml:space="preserve">Powers the access point from the 12V load output. 1 per node.</t>
  </si>
  <si>
    <t xml:space="preserve">2.3  2.4 GHz omni antenna — 8 dBi fiberglass, N-type</t>
  </si>
  <si>
    <t xml:space="preserve">Roughly doubles phone reach vs the built-in antenna. 2 per node (MIMO).</t>
  </si>
  <si>
    <t xml:space="preserve">2.4  Antenna pigtail — RP-SMA to N-female, low-loss</t>
  </si>
  <si>
    <t xml:space="preserve">Connects the access point to the external antennas. 2 per node.</t>
  </si>
  <si>
    <t xml:space="preserve">2.5  Surge arrestor — 2.4 GHz, N-type</t>
  </si>
  <si>
    <t xml:space="preserve">Lightning protection on the Wi-Fi antenna lines. 2 per node.</t>
  </si>
  <si>
    <t xml:space="preserve">2.6  LoRa node — RAKwireless WisBlock (RAK19007 base + RAK11200 ESP32 + RAK13300 SX1262), 915 MHz</t>
  </si>
  <si>
    <t xml:space="preserve">LoRa radio and Wi-Fi-to-LoRa bridge, AS923-3 band. 1 per node.</t>
  </si>
  <si>
    <t xml:space="preserve">2.7  LoRa antenna — 915 MHz, 3–5 dBi fiberglass, N-type</t>
  </si>
  <si>
    <t xml:space="preserve">Wide beam stays aimed at shore when the buoy rolls. 1 per node.</t>
  </si>
  <si>
    <t xml:space="preserve">2.8  RF pigtail — IPEX to N bulkhead</t>
  </si>
  <si>
    <t xml:space="preserve">Connects the LoRa board to the antenna through the enclosure wall. 1 per node.</t>
  </si>
  <si>
    <t xml:space="preserve">2.9  Surge arrestor — 915 MHz, N-type</t>
  </si>
  <si>
    <t xml:space="preserve">Lightning protection on the LoRa antenna line. 1 per node.</t>
  </si>
  <si>
    <t xml:space="preserve">B.1.3  BUOY RELAY NODE - GPS</t>
  </si>
  <si>
    <t xml:space="preserve">Subsystem note: node position is sent over LoRa (~12-byte packet) so shore knows where each relay is, and to detect drift or theft. Replaces the prior NEO-M8N line. Cost per node: ₱1,750.</t>
  </si>
  <si>
    <t xml:space="preserve">3.1  GNSS module — RAK12500 (u-blox ZOE-M8Q)</t>
  </si>
  <si>
    <t xml:space="preserve">Plugs into the WisBlock base board. 1 per node.</t>
  </si>
  <si>
    <t xml:space="preserve">3.2  Active GNSS patch antenna</t>
  </si>
  <si>
    <t xml:space="preserve">Mounted under the enclosure lid. 1 per node.</t>
  </si>
  <si>
    <t xml:space="preserve">3.3  GNSS backup cell</t>
  </si>
  <si>
    <t xml:space="preserve">Faster position fix after power dips. 1 per node.</t>
  </si>
  <si>
    <t xml:space="preserve">B.1.4  BUOY RELAY NODE - CONTROL AND MONITORING</t>
  </si>
  <si>
    <t xml:space="preserve">Subsystem note: keeps the node running unattended offshore and reports its health to shore. Cost per node: ₱800.</t>
  </si>
  <si>
    <t xml:space="preserve">4.1  Hardware watchdog — TPL5010</t>
  </si>
  <si>
    <t xml:space="preserve">Automatically resets the node if the firmware hangs. 1 per node.</t>
  </si>
  <si>
    <t xml:space="preserve">4.2  Enclosure health sensor — BME280</t>
  </si>
  <si>
    <t xml:space="preserve">Detects seal failure (humidity inside the box); pressure fallback. 1 per node.</t>
  </si>
  <si>
    <t xml:space="preserve">4.3  Power monitor — INA226</t>
  </si>
  <si>
    <t xml:space="preserve">Reports battery voltage and current to shore. 1 per node.</t>
  </si>
  <si>
    <t xml:space="preserve">B.1.5  BUOY RELAY NODE - ENCLOSURE AND SEALING</t>
  </si>
  <si>
    <t xml:space="preserve">Subsystem note: protects the electronics from salt, heat and moisture. Cost per node: ₱5,700.</t>
  </si>
  <si>
    <t xml:space="preserve">5.1  Enclosure — IP67 polycarbonate, ~400×300×180 mm, UV-stabilized</t>
  </si>
  <si>
    <t xml:space="preserve">Houses all electronics and the battery. 1 per node.</t>
  </si>
  <si>
    <t xml:space="preserve">5.2  Breather vent — M12 pressure-equalizing</t>
  </si>
  <si>
    <t xml:space="preserve">Stops the box drawing salt air through its seals as it heats and cools. 1 per node.</t>
  </si>
  <si>
    <t xml:space="preserve">5.3  Cable glands — IP68 (set)</t>
  </si>
  <si>
    <t xml:space="preserve">Sealed entry for every cable. 1 set per node.</t>
  </si>
  <si>
    <t xml:space="preserve">5.4  Silica gel desiccant (set)</t>
  </si>
  <si>
    <t xml:space="preserve">Absorbs trapped moisture; replaced every maintenance visit. 1 set per node.</t>
  </si>
  <si>
    <t xml:space="preserve">5.5  Conformal coating — acrylic spray</t>
  </si>
  <si>
    <t xml:space="preserve">Protects circuit boards from condensation and salt. 1 can per node.</t>
  </si>
  <si>
    <t xml:space="preserve">5.6  Internal mounting set — backplate, battery strap, standoffs</t>
  </si>
  <si>
    <t xml:space="preserve">Keeps parts secure under wave motion. 1 set per node.</t>
  </si>
  <si>
    <t xml:space="preserve">B.1.6  BUOY RELAY NODE - QUICK-RELEASE MOUNTING</t>
  </si>
  <si>
    <t xml:space="preserve">Subsystem note: lets the node clip onto an LGU host buoy and come off without tools for maintenance. Cost per node: ₱8,300.</t>
  </si>
  <si>
    <t xml:space="preserve">6.1  Quick-release clamp — heavy-duty 316 stainless</t>
  </si>
  <si>
    <t xml:space="preserve">Tool-free attach/detach; rated for ~25 kg plus wind load. 1 per node.</t>
  </si>
  <si>
    <t xml:space="preserve">6.2  Buoy adapter bracket — stainless</t>
  </si>
  <si>
    <t xml:space="preserve">Fixed on the host buoy so the node drops into the same spot. 1 per node.</t>
  </si>
  <si>
    <t xml:space="preserve">6.3  Antenna mast — folding 316 stainless, ~1 m</t>
  </si>
  <si>
    <t xml:space="preserve">Raises the antennas for range. 1 per node.</t>
  </si>
  <si>
    <t xml:space="preserve">6.4  Safety tether — stainless lanyard + locking carabiner</t>
  </si>
  <si>
    <t xml:space="preserve">Saves the node if the clamp fails in waves. 1 per node.</t>
  </si>
  <si>
    <t xml:space="preserve">6.5  Anti-theft lock — locking pin + marine padlock</t>
  </si>
  <si>
    <t xml:space="preserve">Deters theft of an easily detachable unit. 1 per node.</t>
  </si>
  <si>
    <t xml:space="preserve">6.6  Fasteners — 316 stainless bolts and nuts (set)</t>
  </si>
  <si>
    <t xml:space="preserve">Corrosion-resistant hardware. 1 set per node.</t>
  </si>
  <si>
    <t xml:space="preserve">B.1.7  BUOY RELAY NODE - SAFETY LIGHTING (OPTIONAL)</t>
  </si>
  <si>
    <t xml:space="preserve">Subsystem note: remove this line if host buoys already have a navigation light. Cost per node: ₱1,500.</t>
  </si>
  <si>
    <t xml:space="preserve">7.1  Solar LED marine beacon — flashing</t>
  </si>
  <si>
    <t xml:space="preserve">Night visibility when mounted on an unlit buoy. 1 per node.</t>
  </si>
  <si>
    <t xml:space="preserve">B.1.8  BOAT POD (STRAP-ON)</t>
  </si>
  <si>
    <t xml:space="preserve">Subsystem note: lightweight strap-on unit for fishers' own boats, maintained and shared by fishing families. Recharged at home over USB-C; no solar panel. Quantity: boat pods in B7. Cost per pod: ₱17,500.</t>
  </si>
  <si>
    <t xml:space="preserve">8.1  LoRa node - RAK WisBlock (RAK19007 + RAK11200 ESP32 + RAK13300 SX1262), 915 MHz</t>
  </si>
  <si>
    <t xml:space="preserve">LoRa radio; the ESP32's built-in Wi-Fi serves the fisher's phone on the same boat, so no external access point is needed. 1 per pod.</t>
  </si>
  <si>
    <t xml:space="preserve">8.2  GNSS set - RAK12500 module + active patch antenna + backup cell</t>
  </si>
  <si>
    <t xml:space="preserve">Boat position for SOS and drift search. 1 set per pod.</t>
  </si>
  <si>
    <t xml:space="preserve">8.3  LoRa antenna - 915 MHz, 3-5 dBi fiberglass, N-type</t>
  </si>
  <si>
    <t xml:space="preserve">Link to the shore gateway or a buoy relay. 1 per pod.</t>
  </si>
  <si>
    <t xml:space="preserve">8.4  RF pigtail - IPEX to N bulkhead</t>
  </si>
  <si>
    <t xml:space="preserve">Connects the LoRa board to the antenna. 1 per pod.</t>
  </si>
  <si>
    <t xml:space="preserve">8.5  Battery cells - LiFePO4 32700, 3.2 V 6 Ah</t>
  </si>
  <si>
    <t xml:space="preserve">4 cells per pod (~76 Wh), about 2 days per charge: an overnight trip plus a missed charge during brownouts. LiFePO4 tolerates heat on deck. Estimate.</t>
  </si>
  <si>
    <t xml:space="preserve">8.6  USB-C charging and protection board (2 A)</t>
  </si>
  <si>
    <t xml:space="preserve">Fishers recharge the pod at home with an ordinary USB-C phone charger; boat pods have no solar panel. 1 per pod. Estimate.</t>
  </si>
  <si>
    <t xml:space="preserve">8.7  Waterproof USB-C panel connector with cap</t>
  </si>
  <si>
    <t xml:space="preserve">Charges the pod without opening the sealed enclosure. 1 per pod. Estimate.</t>
  </si>
  <si>
    <t xml:space="preserve">8.8  Enclosure - IP67 polycarbonate, ~200×150×100 mm</t>
  </si>
  <si>
    <t xml:space="preserve">Houses the electronics and battery. 1 per pod. Estimate.</t>
  </si>
  <si>
    <t xml:space="preserve">8.9  Sealing set - breather vent, cable glands, desiccant, conformal coating</t>
  </si>
  <si>
    <t xml:space="preserve">Same sealing parts as the buoy node (5.2-5.5). 1 set per pod.</t>
  </si>
  <si>
    <t xml:space="preserve">8.10  Strap-on mount kit + safety tether</t>
  </si>
  <si>
    <t xml:space="preserve">Straps to the fisher's banca and moves between relatives' boats without tools; the tether keeps it aboard. 1 per pod. Estimate.</t>
  </si>
  <si>
    <t xml:space="preserve">8.11  Watchdog (TPL5010) + power monitor (INA226)</t>
  </si>
  <si>
    <t xml:space="preserve">Auto-reset, plus battery level shown in the app so fishers know when to charge. 1 set per pod.</t>
  </si>
  <si>
    <t xml:space="preserve">8.12  Wiring set</t>
  </si>
  <si>
    <t xml:space="preserve">Internal wiring, connectors and heat-shrink. 1 set per pod. Estimate.</t>
  </si>
  <si>
    <t xml:space="preserve">8.13  Physical SOS button - IP67 momentary switch with guard cover</t>
  </si>
  <si>
    <t xml:space="preserve">Sends an SOS without the phone, as the pod design requires. The guard prevents accidental presses. 1 per pod. Estimate.</t>
  </si>
  <si>
    <t xml:space="preserve">B.1.9  SHORE GATEWAY</t>
  </si>
  <si>
    <t xml:space="preserve">Subsystem note: the tall shoreline gateway that receives LoRa frames and posts them to the backend. Mounted on an LGU-provided structure (see the counterpart note). Quantity: gateways in B8. Cost per gateway: ₱37,400.</t>
  </si>
  <si>
    <t xml:space="preserve">9.1  LoRa node - RAK WisBlock stack, 915 MHz</t>
  </si>
  <si>
    <t xml:space="preserve">Same board as the nodes and pods, so every device runs the same radio firmware. 1 per gateway.</t>
  </si>
  <si>
    <t xml:space="preserve">9.2  Gateway antenna - 915 MHz fiberglass omni, 6-8 dBi, N-type</t>
  </si>
  <si>
    <t xml:space="preserve">Higher gain for the long shore link. 1 per gateway. Estimate.</t>
  </si>
  <si>
    <t xml:space="preserve">9.3  Low-loss coax jumper - LMR-400, ~2 m, N-N</t>
  </si>
  <si>
    <t xml:space="preserve">Antenna to enclosure. 1 per gateway. Estimate.</t>
  </si>
  <si>
    <t xml:space="preserve">9.4  RF pigtail - IPEX to N bulkhead</t>
  </si>
  <si>
    <t xml:space="preserve">1 per gateway.</t>
  </si>
  <si>
    <t xml:space="preserve">9.5  Surge arrestor - 915 MHz, N-type</t>
  </si>
  <si>
    <t xml:space="preserve">Lightning protection on the antenna line. 1 per gateway.</t>
  </si>
  <si>
    <t xml:space="preserve">9.6  Grounding kit - ground rod, cable, clamps</t>
  </si>
  <si>
    <t xml:space="preserve">Grounds the pole and surge arrestor. 1 per gateway. Estimate.</t>
  </si>
  <si>
    <t xml:space="preserve">9.7  Rooftop pole - galvanized, 3-6 m, clamps + guy kit</t>
  </si>
  <si>
    <t xml:space="preserve">Mounted on an LGU-provided tall structure to reach the 15-20 m antenna height the RF plan assumes. 1 per gateway. Estimate.</t>
  </si>
  <si>
    <t xml:space="preserve">9.8  Enclosure - IP67 polycarbonate, ~400×300×180 mm</t>
  </si>
  <si>
    <t xml:space="preserve">Houses the board, router and backup battery. 1 per gateway.</t>
  </si>
  <si>
    <t xml:space="preserve">9.9  Sealing set - breather vent, cable glands, conformal coating</t>
  </si>
  <si>
    <t xml:space="preserve">1 set per gateway.</t>
  </si>
  <si>
    <t xml:space="preserve">9.10  LTE router with Wi-Fi, 12 V</t>
  </si>
  <si>
    <t xml:space="preserve">Internet uplink; the gateway firmware joins its Wi-Fi. 1 per gateway. Estimate.</t>
  </si>
  <si>
    <t xml:space="preserve">9.11  Backup battery - LiFePO4 12 V 20 Ah</t>
  </si>
  <si>
    <t xml:space="preserve">About 50 hours of backup for the board and router through brownouts. 1 per gateway. Estimate.</t>
  </si>
  <si>
    <t xml:space="preserve">9.12  Mains smart charger - 12 V LiFePO4</t>
  </si>
  <si>
    <t xml:space="preserve">Keeps the backup battery charged from grid power. 1 per gateway. Estimate.</t>
  </si>
  <si>
    <t xml:space="preserve">9.13  Power wiring set - 12 V to 5 V converter, fuses, wiring</t>
  </si>
  <si>
    <t xml:space="preserve">9.14  Health monitoring - watchdog, power monitor, enclosure sensor</t>
  </si>
  <si>
    <t xml:space="preserve">Reports gateway health to the backend. 1 set per gateway.</t>
  </si>
  <si>
    <t xml:space="preserve">B.1.10  BENCH PROTOTYPING, TOOLS, AND CONSUMABLES</t>
  </si>
  <si>
    <t xml:space="preserve">Subsystem note: shared lab items for assembly and testing — bought once, not per node.</t>
  </si>
  <si>
    <t xml:space="preserve">10.1  Inertial measurement unit (MPU6050)</t>
  </si>
  <si>
    <t xml:space="preserve">10 pcs bundle. Wave motion and buoy attitude sensing for sea-state estimation. Source: Shopee, Aug 2026.</t>
  </si>
  <si>
    <t xml:space="preserve">10.2  PCB protoboard (FR4)</t>
  </si>
  <si>
    <t xml:space="preserve">10 pcs bundle. Node assembly and sensor integration.</t>
  </si>
  <si>
    <t xml:space="preserve">10.3  Breadboard</t>
  </si>
  <si>
    <t xml:space="preserve">5 pcs bundle. Bench prototyping prior to permanent assembly.</t>
  </si>
  <si>
    <t xml:space="preserve">10.4  Soldering rework station (YIHUA 982D-SE)</t>
  </si>
  <si>
    <t xml:space="preserve">Semi-expendable property — unit cost below the ₱50,000 COA capitalization threshold, therefore charged to MOOE rather than Equipment Outlay. Required for node assembly and field repair.</t>
  </si>
  <si>
    <t xml:space="preserve">10.5  Portable monitor - Nvision 15.6" FHD 60Hz IPS</t>
  </si>
  <si>
    <t xml:space="preserve">Second screen for the 2 development laptops during bench testing, field deployment, and on-site demos with MDRRMO/BFAR. Source: online marketplace listing, Sep 2026.</t>
  </si>
  <si>
    <t xml:space="preserve">10.6  Soldering consumables</t>
  </si>
  <si>
    <t xml:space="preserve">Solder wire 500 g, flux pens, desoldering wick, 99% isopropyl alcohol, lint-free wipes. Estimate.</t>
  </si>
  <si>
    <t xml:space="preserve">10.7  Sealing and adhesives</t>
  </si>
  <si>
    <t xml:space="preserve">Marine silicone sealant, two-part marine epoxy, glue gun and CA glue, self-amalgamating tape for RF connectors, dielectric grease, thread locker. Keeps salt water out of connectors and enclosures. Estimate.</t>
  </si>
  <si>
    <t xml:space="preserve">10.8  Wiring and connector consumables</t>
  </si>
  <si>
    <t xml:space="preserve">Heat-shrink (including adhesive-lined marine type), crimp terminals, JST/Dupont connector kit, UV-resistant cable ties. Estimate.</t>
  </si>
  <si>
    <t xml:space="preserve">10.9  Anti-corrosion spray</t>
  </si>
  <si>
    <t xml:space="preserve">For connectors and terminals. Estimate.</t>
  </si>
  <si>
    <t xml:space="preserve">10.10  Hand tools</t>
  </si>
  <si>
    <t xml:space="preserve">Wire strippers, flush cutters, pliers, ratcheting crimper set, wrench and hex key set. The team owns none of these. Estimate.</t>
  </si>
  <si>
    <t xml:space="preserve">10.11  Power tools</t>
  </si>
  <si>
    <t xml:space="preserve">Heat gun and cordless drill with step bits, for heat-shrink work and cable-gland holes in enclosures. Estimate.</t>
  </si>
  <si>
    <t xml:space="preserve">10.12  Test equipment</t>
  </si>
  <si>
    <t xml:space="preserve">Digital multimeter, bench power supply 0-30 V 5 A, USB-C power meter, and a NanoVNA to check the 915 MHz antennas and cables before range tests. Estimate.</t>
  </si>
  <si>
    <t xml:space="preserve">10.13  Bench safety and ESD</t>
  </si>
  <si>
    <t xml:space="preserve">Solder fume extractor, anti-static mat and wrist strap, safety glasses and gloves, helping hands. Estimate.</t>
  </si>
  <si>
    <t xml:space="preserve">10.14  Labels and storage</t>
  </si>
  <si>
    <t xml:space="preserve">Waterproof device labels and ASU property tags, parts organizers. Estimate.</t>
  </si>
  <si>
    <t xml:space="preserve">10.15  3D printing service - ASU printer (per kg printed)</t>
  </si>
  <si>
    <t xml:space="preserve">Mounts, internal trays and adapter parts for all devices plus prototypes, ~6 kg in UV-resistant PETG or ASA (PLA degrades in sun). ASU charges per use; ~₱5/g is an estimate. CONFIRM the university's rate.</t>
  </si>
  <si>
    <t xml:space="preserve">Subtotal — Supplies and Materials</t>
  </si>
  <si>
    <t xml:space="preserve">REVISED FROM PRIOR DRAFT (28 Sep 2026): B.1 is restructured into three device types. Buoy relay nodes (B.1.1-B.1.7) mount on LGU buoys only, so the ship-power charger, ship adapter bracket and ship-input fuse are removed (₱72,400 → ₱64,150 per node). Boat pods (B.1.8) are a new lightweight strap-on unit for fishers' own boats. Shore gateways (B.1.9) are new; before, only the gateway's data SIM was budgeted. Device counts in B6-B8 are planning assumptions pending LGU and fisherfolk consultation, and lines marked 'Estimate' need a local canvass. Later revision (28 Sep 2026): pods raised to 22 (20 deployed + 2 spares) and a physical SOS button added (₱17,500 per pod). Weather-tiered check-ins need a second shore receiver (max 80 pods per receiver) and are outside the Year 1 SOS scope, so they are not budgeted. MPU6050 quantity was "x" (broke every total downstream) - set to 1 bundle; confirm.</t>
  </si>
  <si>
    <t xml:space="preserve">CAPITALIZATION CHECK: One assembled buoy relay node costs ~₱64,150, above the ₱50,000 COA threshold. Lines are itemized by subsystem (each below ₱50,000 per unit), but confirm with ASU Accounting whether assembled buoy nodes must be recorded under Equipment Outlay instead of MOOE. Boat pods (~₱17,500) and shore gateways (~₱37,400) are below the threshold.</t>
  </si>
  <si>
    <t xml:space="preserve">B.2  Software Subscriptions and Licenses</t>
  </si>
  <si>
    <t xml:space="preserve">AI development tooling - ChatGPT Pro ($100 tier), 1 seat</t>
  </si>
  <si>
    <t xml:space="preserve">$100/month × 12 months. Held by Lenard (lead student researcher: backend, architecture, deployment). Single-user plan; not shared.</t>
  </si>
  <si>
    <t xml:space="preserve">USD</t>
  </si>
  <si>
    <t xml:space="preserve">AI development tooling - Claude Pro, 3 seats (annual billing)</t>
  </si>
  <si>
    <t xml:space="preserve">$200/seat/year (billed annually, $17/month). Held by Arnold (website dashboard), Daniel (hardware and buoy firmware) and Jade (Flutter application). Single-user plans; not shared.</t>
  </si>
  <si>
    <t xml:space="preserve">12% VAT on foreign digital services</t>
  </si>
  <si>
    <t xml:space="preserve">Philippine 12% VAT on digital services from nonresident providers (RA 12023, in force since June 2025), applied to the subscriptions above.</t>
  </si>
  <si>
    <t xml:space="preserve">Subtotal — Software Subscriptions</t>
  </si>
  <si>
    <t xml:space="preserve">B.3  Cloud Infrastructure and Hosting</t>
  </si>
  <si>
    <t xml:space="preserve">Render web service - Standard (1 CPU, 2 GB RAM)</t>
  </si>
  <si>
    <t xml:space="preserve">Hosts the FastAPI backend and the regulator dashboard for the New Washington pilot, always on so an SOS never waits on a cold start. $25/month × 12 months.</t>
  </si>
  <si>
    <t xml:space="preserve">Render PostgreSQL - Basic-1gb</t>
  </si>
  <si>
    <t xml:space="preserve">Pilot database for SOS records, vessel profiles, operator accounts and the audit trail. The paid plan includes point-in-time recovery; the free tier used today expires every 30 days with no backups. $19/month × 12 months.</t>
  </si>
  <si>
    <t xml:space="preserve">Database storage (~20 GB)</t>
  </si>
  <si>
    <t xml:space="preserve">$0.30/GB/month × 20 GB × 12 months.</t>
  </si>
  <si>
    <t xml:space="preserve">Bandwidth overage buffer</t>
  </si>
  <si>
    <t xml:space="preserve">Traffic beyond the included bandwidth at $0.15/GB; ~$5/month × 12 months.</t>
  </si>
  <si>
    <t xml:space="preserve">Staging environment - Render Starter web + Basic-256mb PostgreSQL</t>
  </si>
  <si>
    <t xml:space="preserve">Separate copy for testing changes before they reach live SOS traffic. $7 + $6 per month × 12 months.</t>
  </si>
  <si>
    <t xml:space="preserve">Domain registration</t>
  </si>
  <si>
    <t xml:space="preserve">Annual renewal.</t>
  </si>
  <si>
    <t xml:space="preserve">Google Play developer registration</t>
  </si>
  <si>
    <t xml:space="preserve">One-time fee to publish the AqOne Android app for fisherfolk.</t>
  </si>
  <si>
    <t xml:space="preserve">RA 12023, applied to the USD hosting, domain and app store lines above.</t>
  </si>
  <si>
    <t xml:space="preserve">Foreign exchange spread buffer</t>
  </si>
  <si>
    <t xml:space="preserve">5% of all USD-denominated lines in B.2 and B.3 (before VAT), to absorb card issuer FX spread and peso movement over the project year.</t>
  </si>
  <si>
    <t xml:space="preserve">Subtotal — Cloud Infrastructure</t>
  </si>
  <si>
    <t xml:space="preserve">REVISED FROM PRIOR DRAFT (28 Sep 2026): the Railway pilot phase and the AWS "Panay-wide" scaling phase are replaced with Render for the full project year, sized to the New Washington pilot. AqOne already runs on Render's free tier, whose database expires every 30 days with no backups; paid plans remove that risk. Scale-up beyond New Washington is a follow-on phase and is not part of this request, so the AWS Activate credit note is withdrawn.</t>
  </si>
  <si>
    <t xml:space="preserve">B.4  Communication Expenses</t>
  </si>
  <si>
    <t xml:space="preserve">SMS gateway - SOS and advisory alerts (Semaphore)</t>
  </si>
  <si>
    <t xml:space="preserve">Semaphore at ₱0.56/text + 12% VAT = ₱0.627/text; 1,000-3,000 texts/month × 12 months (midpoint 2,000 used). Advisories over 160 characters bill as 2+ texts, so keep templates short. Delivers emergency alerts to fisherfolk without smartphone access.</t>
  </si>
  <si>
    <t xml:space="preserve">Shore gateway data SIMs (LTE uplink)</t>
  </si>
  <si>
    <t xml:space="preserve">1 prepaid data SIM per shore gateway (B8), on different networks (Globe and Smart) so one carrier outage cannot cut both; ~₱1,000/month × 12 months each.</t>
  </si>
  <si>
    <t xml:space="preserve">Pocket Wi-Fi units - prepaid LTE/5G</t>
  </si>
  <si>
    <t xml:space="preserve">For field testing where Wi-Fi is unreliable: one on Smart, one on GOMO (Globe network), so one network covers dead spots in the other. Project-owned; SIMs registered under the project's responsible person at ASU. Estimate.</t>
  </si>
  <si>
    <t xml:space="preserve">Field testing data - Smart Magic Data (no expiry)</t>
  </si>
  <si>
    <t xml:space="preserve">~200 GB on the main SIM: Magic Data 988 + 749 + 649 (88 + 65 + 50 GB = 203 GB), bought in tranches during fieldwork; the data does not expire while the SIM stays active.</t>
  </si>
  <si>
    <t xml:space="preserve">Field testing data - GOMO (no expiry)</t>
  </si>
  <si>
    <t xml:space="preserve">~200 GB on the backup SIM: 7 × GOMO 449 (30 GB each = 210 GB), bought in tranches during fieldwork.</t>
  </si>
  <si>
    <t xml:space="preserve">Subtotal — Communication</t>
  </si>
  <si>
    <t xml:space="preserve">B.5  Travel and Transportation</t>
  </si>
  <si>
    <t xml:space="preserve">Field travel and transportation - ASU Kalibo Campus to New Washington (land)</t>
  </si>
  <si>
    <t xml:space="preserve">48 round trips (≈4/month × 12 months) from ASU Kalibo Campus to the New Washington pilot site with a crew of 3-5, for deployment, retrieval, maintenance and fisherfolk data collection. Budgeted at the equivalent customary public transport cost (≈₱1,250 per trip for the crew, estimate), not private-car fuel: government travel rules exclude gasoline reimbursement for private vehicles (EO 77, Sec. 5(a)). CONFIRM the treatment for student participants with ASU Accounting. Reimbursed against approved travel orders and receipts per COA rules.</t>
  </si>
  <si>
    <t xml:space="preserve">Sea access - pumpboat hire with boatman and fuel</t>
  </si>
  <si>
    <t xml:space="preserve">16 sea trips: ~4 for deployment and commissioning, 9 monthly inspections (months 4-12), ~3 after damaging weather when safe. ~₱2,500 per half-day trip (estimate; get a local quote). Reduce or drop if the New Washington LGU provides boat access under the MOA.</t>
  </si>
  <si>
    <t xml:space="preserve">Research dissemination travel</t>
  </si>
  <si>
    <t xml:space="preserve">One national conference or research forum for presentation of results — registration, transportation, and accommodation for two delegates.</t>
  </si>
  <si>
    <t xml:space="preserve">Subtotal — Travel and Transportation</t>
  </si>
  <si>
    <t xml:space="preserve">REVISED FROM PRIOR DRAFT: previously budgeted as a flat ₱5,000/month fuel allowance for a privately-owned vehicle. Restated on a per-trip basis to comply with government travel expense rules.</t>
  </si>
  <si>
    <t xml:space="preserve">B.6  Project Dissemination, Community Engagement, and Business/Design Support</t>
  </si>
  <si>
    <t xml:space="preserve">Pilot community outreach (New Washington)</t>
  </si>
  <si>
    <t xml:space="preserve">Printed orientation materials, training sessions for fisherfolk and MDRRMO/BFAR personnel, and local transport. One-time.</t>
  </si>
  <si>
    <t xml:space="preserve">Publication and documentation costs</t>
  </si>
  <si>
    <t xml:space="preserve">Journal submission and page charges, poster and technical report production, and final project documentation.</t>
  </si>
  <si>
    <t xml:space="preserve">Business/design devices - 2 project-owned laptops or tablets</t>
  </si>
  <si>
    <t xml:space="preserve">Two project-owned devices for Doreen Kay and KC Condes (pitch decks, Canva/Figma design, business development and stakeholder materials); their current laptops are old. Laptop or tablet to be chosen from documented work requirements and quotations. ₱35,000 per unit, below the ₱50,000 COA capitalization threshold, so MOOE.</t>
  </si>
  <si>
    <t xml:space="preserve">Subtotal — Dissemination, Engagement, and Business/Design Support</t>
  </si>
  <si>
    <t xml:space="preserve">B.7  Field Safety, Insurance, and Maintenance</t>
  </si>
  <si>
    <t xml:space="preserve">Life vests - adult, MARINA-approved type</t>
  </si>
  <si>
    <t xml:space="preserve">Field crew of up to 5 plus 1 spare. Estimate.</t>
  </si>
  <si>
    <t xml:space="preserve">Marine first aid kit</t>
  </si>
  <si>
    <t xml:space="preserve">Carried on every sea trip. Estimate.</t>
  </si>
  <si>
    <t xml:space="preserve">Personal accident insurance - field crew</t>
  </si>
  <si>
    <t xml:space="preserve">6 student researchers + 1 faculty adviser, covering work at sea for the project year. CONFIRM whether ASU's existing student accident insurance already covers fieldwork at sea; this line is a top-up. Estimate.</t>
  </si>
  <si>
    <t xml:space="preserve">Buoy relay node spares kit</t>
  </si>
  <si>
    <t xml:space="preserve">1 battery (₱12,000), 1 MPPT controller (₱5,500), 2 LoRa antennas (₱4,000), 2 surge arrestors (₱3,000), 1 RAK WisBlock (₱3,000), seals and desiccant (₱2,000). Replaces failed parts without waiting on orders.</t>
  </si>
  <si>
    <t xml:space="preserve">Boat pod repair parts</t>
  </si>
  <si>
    <t xml:space="preserve">10 LiFePO4 cells (₱7,500), 4 charging boards (₱2,000), 4 USB-C ports (₱1,600), 5 SOS buttons (₱1,750). The 2 spare pods are counted once, in B.1.8.</t>
  </si>
  <si>
    <t xml:space="preserve">Subtotal — Field Safety, Insurance, and Maintenance</t>
  </si>
  <si>
    <t xml:space="preserve">NEW (28 Sep 2026): field safety and upkeep were missing from the prior draft. Maintenance labor is covered by the student researchers, with Daniel leading hardware upkeep and other members trained as backups.</t>
  </si>
  <si>
    <t xml:space="preserve">C. EQUIPMENT OUTLAY (EO)</t>
  </si>
  <si>
    <t xml:space="preserve">Development laptop — 15.6" workstation class</t>
  </si>
  <si>
    <t xml:space="preserve">2 units for backend and application work. Minimum specification: 15.6" FHD, 16GB RAM (expandable), 512GB NVMe SSD, discrete GPU for local model training and inference. Unit cost exceeds the ₱50,000 COA capitalization threshold; recorded as PPE and turned over to the institution at project end. Canvass reference: MSI Thin 15 B12UC-1435PH @ ₱54,995 (Kalibo, on-site warranty service).</t>
  </si>
  <si>
    <t xml:space="preserve">Subtotal — Equipment Outlay</t>
  </si>
  <si>
    <t xml:space="preserve">PROCUREMENT NOTE: Specification is written to technical requirements, not to a brand. Final unit selection is subject to ASU canvassing and procurement rules. Alternative canvass: HP OmniBook 5 16" (Ryzen AI 7 350, 16GB/512GB) @ ₱52,990 — newer processor generation, but no local Aklan service centre.</t>
  </si>
  <si>
    <t xml:space="preserve">SUMMARY BY EXPENSE CLASS</t>
  </si>
  <si>
    <t xml:space="preserve">A. Personal Services (PS)</t>
  </si>
  <si>
    <t xml:space="preserve">Stipends for the lead student researcher and 5 student researchers.</t>
  </si>
  <si>
    <t xml:space="preserve">B. Maintenance and Other Operating Expenses (MOOE)</t>
  </si>
  <si>
    <t xml:space="preserve">Supplies, software, cloud hosting, communication, travel, dissemination, field safety, and maintenance.</t>
  </si>
  <si>
    <t xml:space="preserve">C. Equipment Outlay (EO)</t>
  </si>
  <si>
    <t xml:space="preserve">Capitalized development workstations.</t>
  </si>
  <si>
    <t xml:space="preserve">Subtotal — Direct Project Costs</t>
  </si>
  <si>
    <t xml:space="preserve">Contingency</t>
  </si>
  <si>
    <t xml:space="preserve">Applied to direct project costs to absorb price movement, exchange rate variation, and hardware failure replacement over the project year.</t>
  </si>
  <si>
    <t xml:space="preserve">GRAND TOTAL — 1-YEAR FUNDING REQUEST</t>
  </si>
  <si>
    <t xml:space="preserve">LGU AND COMMUNITY COUNTERPART (in-kind, not included in the totals above; subject to a Memorandum of Agreement with the New Washington LGU): host buoys (the LGU provides existing buoys or procures its own), boat access for node deployment and maintenance, rooftop sites for the shore gateways, coordination of Coast Guard and LGU permits, and fishers' own boats and USB-C phone chargers for the boat pods.</t>
  </si>
  <si>
    <t xml:space="preserve">LEGEND AND NOTES</t>
  </si>
  <si>
    <t xml:space="preserve">Blue text = editable input. Edit Qty, Unit Cost, Currency, the exchange rate (B4), the hourly labor rate (B5), the device counts (B6-B8), and the contingency percentage. All totals recalculate automatically.</t>
  </si>
  <si>
    <t xml:space="preserve">Yellow fill = key assumption requiring confirmation before submission.</t>
  </si>
  <si>
    <t xml:space="preserve">Red italic text = note flagging a revision, an unconfirmed assumption, or a procurement consideration.</t>
  </si>
  <si>
    <t xml:space="preserve">Currency column accepts PHP or USD. USD lines are converted at the rate in cell B4.</t>
  </si>
  <si>
    <t xml:space="preserve">Expense classes follow standard government budget structure: Personal Services (PS), Maintenance and Other Operating Expenses (MOOE), and Equipment Outlay (EO).</t>
  </si>
  <si>
    <t xml:space="preserve">COA capitalization threshold of ₱50,000 per unit determines whether an item is charged to Equipment Outlay or treated as semi-expendable under MOOE.</t>
  </si>
  <si>
    <t xml:space="preserve">Equipment procured under this project is recorded as institutional property of Aklan State University and is subject to turnover at project completion.</t>
  </si>
  <si>
    <t xml:space="preserve">REMOVED FROM PRIOR DRAFT: AWS certification and training costs (₱68,177). Team members are identifying the specific certifications required for deployment; these will be re-costed and justified against project deliverables if reinstated.</t>
  </si>
  <si>
    <t xml:space="preserve">All figures are estimates compiled from current (August-September 2026) supplier pricing. Confirm exact costs at time of procurement.</t>
  </si>
</sst>
</file>

<file path=xl/styles.xml><?xml version="1.0" encoding="utf-8"?>
<styleSheet xmlns="http://schemas.openxmlformats.org/spreadsheetml/2006/main">
  <numFmts count="8">
    <numFmt numFmtId="164" formatCode="General"/>
    <numFmt numFmtId="165" formatCode="#,##0.00"/>
    <numFmt numFmtId="166" formatCode="0"/>
    <numFmt numFmtId="167" formatCode="0.00"/>
    <numFmt numFmtId="168" formatCode="\₱#,##0;&quot;(₱&quot;#,##0\);\-"/>
    <numFmt numFmtId="169" formatCode="\₱#,##0"/>
    <numFmt numFmtId="170" formatCode="0%"/>
    <numFmt numFmtId="171" formatCode="0.0%"/>
  </numFmts>
  <fonts count="14">
    <font>
      <sz val="11"/>
      <color theme="1"/>
      <name val="Calibri"/>
      <family val="0"/>
      <charset val="1"/>
    </font>
    <font>
      <sz val="10"/>
      <name val="Arial"/>
      <family val="0"/>
    </font>
    <font>
      <sz val="10"/>
      <name val="Arial"/>
      <family val="0"/>
    </font>
    <font>
      <sz val="10"/>
      <name val="Arial"/>
      <family val="0"/>
    </font>
    <font>
      <b val="true"/>
      <sz val="13"/>
      <color theme="1"/>
      <name val="Arial"/>
      <family val="0"/>
      <charset val="1"/>
    </font>
    <font>
      <i val="true"/>
      <sz val="9"/>
      <color rgb="FF555555"/>
      <name val="Arial"/>
      <family val="0"/>
      <charset val="1"/>
    </font>
    <font>
      <b val="true"/>
      <sz val="11"/>
      <color theme="1"/>
      <name val="Arial"/>
      <family val="0"/>
      <charset val="1"/>
    </font>
    <font>
      <sz val="11"/>
      <color rgb="FF0000FF"/>
      <name val="Arial"/>
      <family val="0"/>
      <charset val="1"/>
    </font>
    <font>
      <b val="true"/>
      <sz val="11"/>
      <color rgb="FFFFFFFF"/>
      <name val="Arial"/>
      <family val="0"/>
      <charset val="1"/>
    </font>
    <font>
      <sz val="11"/>
      <color theme="1"/>
      <name val="Arial"/>
      <family val="0"/>
      <charset val="1"/>
    </font>
    <font>
      <sz val="11"/>
      <color rgb="FF000000"/>
      <name val="Arial"/>
      <family val="0"/>
      <charset val="1"/>
    </font>
    <font>
      <i val="true"/>
      <sz val="9"/>
      <color rgb="FFC00000"/>
      <name val="Arial"/>
      <family val="0"/>
      <charset val="1"/>
    </font>
    <font>
      <i val="true"/>
      <sz val="11"/>
      <color rgb="FF1F3A5F"/>
      <name val="Arial"/>
      <family val="0"/>
      <charset val="1"/>
    </font>
    <font>
      <sz val="9"/>
      <color theme="1"/>
      <name val="Arial"/>
      <family val="0"/>
      <charset val="1"/>
    </font>
  </fonts>
  <fills count="8">
    <fill>
      <patternFill patternType="none"/>
    </fill>
    <fill>
      <patternFill patternType="gray125"/>
    </fill>
    <fill>
      <patternFill patternType="solid">
        <fgColor rgb="FFFFFF00"/>
        <bgColor rgb="FFFFFF00"/>
      </patternFill>
    </fill>
    <fill>
      <patternFill patternType="solid">
        <fgColor rgb="FF1F3864"/>
        <bgColor rgb="FF1F3A5F"/>
      </patternFill>
    </fill>
    <fill>
      <patternFill patternType="solid">
        <fgColor rgb="FFF2F2F2"/>
        <bgColor rgb="FFE8EEF6"/>
      </patternFill>
    </fill>
    <fill>
      <patternFill patternType="solid">
        <fgColor rgb="FFD9E2F3"/>
        <bgColor rgb="FFE8EEF6"/>
      </patternFill>
    </fill>
    <fill>
      <patternFill patternType="solid">
        <fgColor rgb="FFE8EEF6"/>
        <bgColor rgb="FFF2F2F2"/>
      </patternFill>
    </fill>
    <fill>
      <patternFill patternType="solid">
        <fgColor rgb="FFFFE699"/>
        <bgColor rgb="FFFFCC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5" fontId="7"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7" fillId="2" borderId="0" xfId="0" applyFont="true" applyBorder="true" applyAlignment="true" applyProtection="false">
      <alignment horizontal="general" vertical="center" textRotation="0" wrapText="false" indent="0" shrinkToFit="false"/>
      <protection locked="true" hidden="false"/>
    </xf>
    <xf numFmtId="167" fontId="0"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right" vertical="bottom" textRotation="0" wrapText="false" indent="0" shrinkToFit="false"/>
      <protection locked="true" hidden="false"/>
    </xf>
    <xf numFmtId="168" fontId="6" fillId="4"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center" vertical="bottom" textRotation="0" wrapText="true" indent="0" shrinkToFit="false"/>
      <protection locked="true" hidden="false"/>
    </xf>
    <xf numFmtId="169" fontId="6" fillId="4" borderId="1" xfId="0" applyFont="true" applyBorder="true" applyAlignment="true" applyProtection="false">
      <alignment horizontal="center" vertical="bottom"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12" fillId="6" borderId="0" xfId="0" applyFont="true" applyBorder="false" applyAlignment="true" applyProtection="false">
      <alignment horizontal="general" vertical="top" textRotation="0" wrapText="true" indent="0" shrinkToFit="false"/>
      <protection locked="true" hidden="false"/>
    </xf>
    <xf numFmtId="165" fontId="9" fillId="6" borderId="0" xfId="0" applyFont="true" applyBorder="false" applyAlignment="true" applyProtection="false">
      <alignment horizontal="general" vertical="top" textRotation="0" wrapText="false" indent="0" shrinkToFit="false"/>
      <protection locked="true" hidden="false"/>
    </xf>
    <xf numFmtId="164" fontId="9" fillId="6" borderId="0" xfId="0" applyFont="true" applyBorder="false" applyAlignment="true" applyProtection="false">
      <alignment horizontal="general" vertical="top" textRotation="0" wrapText="false" indent="0" shrinkToFit="false"/>
      <protection locked="true" hidden="false"/>
    </xf>
    <xf numFmtId="168" fontId="9" fillId="6" borderId="0" xfId="0" applyFont="true" applyBorder="fals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71" fontId="7" fillId="2" borderId="1" xfId="0" applyFont="true" applyBorder="true" applyAlignment="true" applyProtection="false">
      <alignment horizontal="right" vertical="bottom" textRotation="0" wrapText="false" indent="0" shrinkToFit="false"/>
      <protection locked="true" hidden="false"/>
    </xf>
    <xf numFmtId="164" fontId="6" fillId="7" borderId="1" xfId="0" applyFont="true" applyBorder="true" applyAlignment="true" applyProtection="false">
      <alignment horizontal="right" vertical="bottom" textRotation="0" wrapText="false" indent="0" shrinkToFit="false"/>
      <protection locked="true" hidden="false"/>
    </xf>
    <xf numFmtId="168" fontId="6" fillId="7" borderId="1" xfId="0" applyFont="true" applyBorder="true" applyAlignment="true" applyProtection="false">
      <alignment horizontal="right"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EEF6"/>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1F3A5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2"/>
    <col collapsed="false" customWidth="true" hidden="false" outlineLevel="0" max="2" min="2" style="0" width="46"/>
    <col collapsed="false" customWidth="true" hidden="false" outlineLevel="0" max="3" min="3" style="0" width="10"/>
    <col collapsed="false" customWidth="true" hidden="false" outlineLevel="0" max="4" min="4" style="0" width="12"/>
    <col collapsed="false" customWidth="true" hidden="false" outlineLevel="0" max="5" min="5" style="0" width="11.71"/>
    <col collapsed="false" customWidth="true" hidden="false" outlineLevel="0" max="6" min="6" style="0" width="16"/>
    <col collapsed="false" customWidth="true" hidden="false" outlineLevel="0" max="26" min="7" style="0" width="8.71"/>
  </cols>
  <sheetData>
    <row r="1" customFormat="false" ht="16.1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15" hidden="false" customHeight="false" outlineLevel="0" collapsed="false">
      <c r="A3" s="3"/>
      <c r="B3" s="3"/>
      <c r="C3" s="3"/>
      <c r="D3" s="3"/>
      <c r="E3" s="3"/>
      <c r="F3" s="3"/>
    </row>
    <row r="4" customFormat="false" ht="26.85" hidden="false" customHeight="false" outlineLevel="0" collapsed="false">
      <c r="A4" s="4" t="s">
        <v>2</v>
      </c>
      <c r="B4" s="5" t="n">
        <v>62.75</v>
      </c>
      <c r="C4" s="6" t="s">
        <v>3</v>
      </c>
      <c r="D4" s="3"/>
      <c r="E4" s="3"/>
      <c r="F4" s="3"/>
    </row>
    <row r="5" customFormat="false" ht="15" hidden="false" customHeight="false" outlineLevel="0" collapsed="false">
      <c r="A5" s="4" t="s">
        <v>4</v>
      </c>
      <c r="B5" s="5" t="n">
        <v>65.63</v>
      </c>
      <c r="C5" s="6" t="s">
        <v>5</v>
      </c>
    </row>
    <row r="6" customFormat="false" ht="15" hidden="false" customHeight="false" outlineLevel="0" collapsed="false">
      <c r="A6" s="4" t="s">
        <v>6</v>
      </c>
      <c r="B6" s="7" t="n">
        <v>3</v>
      </c>
      <c r="C6" s="6" t="s">
        <v>7</v>
      </c>
    </row>
    <row r="7" customFormat="false" ht="15" hidden="false" customHeight="false" outlineLevel="0" collapsed="false">
      <c r="A7" s="4" t="s">
        <v>8</v>
      </c>
      <c r="B7" s="7" t="n">
        <v>22</v>
      </c>
      <c r="C7" s="6" t="s">
        <v>9</v>
      </c>
    </row>
    <row r="8" customFormat="false" ht="15" hidden="false" customHeight="false" outlineLevel="0" collapsed="false">
      <c r="A8" s="4" t="s">
        <v>10</v>
      </c>
      <c r="B8" s="7" t="n">
        <v>2</v>
      </c>
      <c r="C8" s="6" t="s">
        <v>11</v>
      </c>
    </row>
    <row r="9" customFormat="false" ht="15" hidden="false" customHeight="false" outlineLevel="0" collapsed="false">
      <c r="A9" s="3"/>
      <c r="B9" s="8"/>
      <c r="C9" s="3"/>
      <c r="D9" s="3"/>
      <c r="E9" s="3"/>
      <c r="F9" s="3"/>
    </row>
    <row r="10" customFormat="false" ht="15" hidden="false" customHeight="false" outlineLevel="0" collapsed="false">
      <c r="A10" s="9" t="s">
        <v>12</v>
      </c>
      <c r="B10" s="9"/>
      <c r="C10" s="9"/>
      <c r="D10" s="9"/>
      <c r="E10" s="9"/>
      <c r="F10" s="9"/>
    </row>
    <row r="11" customFormat="false" ht="15" hidden="false" customHeight="false" outlineLevel="0" collapsed="false">
      <c r="A11" s="10" t="s">
        <v>13</v>
      </c>
      <c r="B11" s="10" t="s">
        <v>14</v>
      </c>
      <c r="C11" s="10" t="s">
        <v>15</v>
      </c>
      <c r="D11" s="10" t="s">
        <v>16</v>
      </c>
      <c r="E11" s="10" t="s">
        <v>17</v>
      </c>
      <c r="F11" s="10" t="s">
        <v>18</v>
      </c>
    </row>
    <row r="12" customFormat="false" ht="90.25" hidden="false" customHeight="false" outlineLevel="0" collapsed="false">
      <c r="A12" s="11" t="s">
        <v>19</v>
      </c>
      <c r="B12" s="11" t="s">
        <v>20</v>
      </c>
      <c r="C12" s="12" t="n">
        <v>1040</v>
      </c>
      <c r="D12" s="13" t="n">
        <f aca="false">$B$5</f>
        <v>65.63</v>
      </c>
      <c r="E12" s="14" t="s">
        <v>21</v>
      </c>
      <c r="F12" s="15" t="n">
        <f aca="false">IF(E12="USD",C12*D12*$B$4,C12*D12)</f>
        <v>68255.2</v>
      </c>
    </row>
    <row r="13" customFormat="false" ht="128.35" hidden="false" customHeight="false" outlineLevel="0" collapsed="false">
      <c r="A13" s="11" t="s">
        <v>22</v>
      </c>
      <c r="B13" s="11" t="s">
        <v>23</v>
      </c>
      <c r="C13" s="12" t="n">
        <v>2600</v>
      </c>
      <c r="D13" s="13" t="n">
        <f aca="false">$B$5</f>
        <v>65.63</v>
      </c>
      <c r="E13" s="14" t="s">
        <v>21</v>
      </c>
      <c r="F13" s="15" t="n">
        <f aca="false">IF(E13="USD",C13*D13*$B$4,C13*D13)</f>
        <v>170638</v>
      </c>
    </row>
    <row r="14" customFormat="false" ht="15" hidden="false" customHeight="false" outlineLevel="0" collapsed="false">
      <c r="A14" s="16" t="s">
        <v>24</v>
      </c>
      <c r="B14" s="16"/>
      <c r="C14" s="16"/>
      <c r="D14" s="16"/>
      <c r="E14" s="16"/>
      <c r="F14" s="17" t="n">
        <f aca="false">SUM(F12:F13)</f>
        <v>238893.2</v>
      </c>
    </row>
    <row r="15" customFormat="false" ht="51" hidden="false" customHeight="true" outlineLevel="0" collapsed="false">
      <c r="A15" s="18" t="s">
        <v>25</v>
      </c>
      <c r="B15" s="18"/>
      <c r="C15" s="18"/>
      <c r="D15" s="18"/>
      <c r="E15" s="18"/>
      <c r="F15" s="18"/>
    </row>
    <row r="16" customFormat="false" ht="15" hidden="false" customHeight="false" outlineLevel="0" collapsed="false">
      <c r="A16" s="3"/>
      <c r="B16" s="3"/>
      <c r="C16" s="3"/>
      <c r="D16" s="19"/>
      <c r="E16" s="3"/>
      <c r="F16" s="20"/>
    </row>
    <row r="17" customFormat="false" ht="15" hidden="false" customHeight="false" outlineLevel="0" collapsed="false">
      <c r="A17" s="9" t="s">
        <v>26</v>
      </c>
      <c r="B17" s="9"/>
      <c r="C17" s="9"/>
      <c r="D17" s="9"/>
      <c r="E17" s="9"/>
      <c r="F17" s="9"/>
    </row>
    <row r="18" customFormat="false" ht="15" hidden="false" customHeight="false" outlineLevel="0" collapsed="false">
      <c r="A18" s="21" t="s">
        <v>27</v>
      </c>
      <c r="B18" s="21"/>
      <c r="C18" s="21"/>
      <c r="D18" s="21"/>
      <c r="E18" s="21"/>
      <c r="F18" s="21"/>
    </row>
    <row r="19" customFormat="false" ht="15" hidden="false" customHeight="false" outlineLevel="0" collapsed="false">
      <c r="A19" s="10" t="s">
        <v>13</v>
      </c>
      <c r="B19" s="10" t="s">
        <v>14</v>
      </c>
      <c r="C19" s="10" t="s">
        <v>15</v>
      </c>
      <c r="D19" s="22" t="s">
        <v>16</v>
      </c>
      <c r="E19" s="10" t="s">
        <v>17</v>
      </c>
      <c r="F19" s="23" t="s">
        <v>18</v>
      </c>
    </row>
    <row r="20" customFormat="false" ht="64.9" hidden="false" customHeight="false" outlineLevel="0" collapsed="false">
      <c r="A20" s="24" t="s">
        <v>28</v>
      </c>
      <c r="B20" s="25" t="s">
        <v>29</v>
      </c>
      <c r="C20" s="26"/>
      <c r="D20" s="26"/>
      <c r="E20" s="27"/>
      <c r="F20" s="28"/>
    </row>
    <row r="21" customFormat="false" ht="26.85" hidden="false" customHeight="false" outlineLevel="0" collapsed="false">
      <c r="A21" s="11" t="s">
        <v>30</v>
      </c>
      <c r="B21" s="11" t="s">
        <v>31</v>
      </c>
      <c r="C21" s="13" t="n">
        <f aca="false">1*$B$6</f>
        <v>3</v>
      </c>
      <c r="D21" s="12" t="n">
        <v>5500</v>
      </c>
      <c r="E21" s="14" t="s">
        <v>21</v>
      </c>
      <c r="F21" s="15" t="n">
        <f aca="false">IF(E21="USD",C21*D21*$B$4,C21*D21)</f>
        <v>16500</v>
      </c>
    </row>
    <row r="22" customFormat="false" ht="26.85" hidden="false" customHeight="false" outlineLevel="0" collapsed="false">
      <c r="A22" s="11" t="s">
        <v>32</v>
      </c>
      <c r="B22" s="11" t="s">
        <v>33</v>
      </c>
      <c r="C22" s="13" t="n">
        <f aca="false">1*$B$6</f>
        <v>3</v>
      </c>
      <c r="D22" s="12" t="n">
        <v>5500</v>
      </c>
      <c r="E22" s="14" t="s">
        <v>21</v>
      </c>
      <c r="F22" s="15" t="n">
        <f aca="false">IF(E22="USD",C22*D22*$B$4,C22*D22)</f>
        <v>16500</v>
      </c>
    </row>
    <row r="23" customFormat="false" ht="26.85" hidden="false" customHeight="false" outlineLevel="0" collapsed="false">
      <c r="A23" s="11" t="s">
        <v>34</v>
      </c>
      <c r="B23" s="11" t="s">
        <v>35</v>
      </c>
      <c r="C23" s="13" t="n">
        <f aca="false">1*$B$6</f>
        <v>3</v>
      </c>
      <c r="D23" s="12" t="n">
        <v>12000</v>
      </c>
      <c r="E23" s="14" t="s">
        <v>21</v>
      </c>
      <c r="F23" s="15" t="n">
        <f aca="false">IF(E23="USD",C23*D23*$B$4,C23*D23)</f>
        <v>36000</v>
      </c>
    </row>
    <row r="24" customFormat="false" ht="26.85" hidden="false" customHeight="false" outlineLevel="0" collapsed="false">
      <c r="A24" s="11" t="s">
        <v>36</v>
      </c>
      <c r="B24" s="11" t="s">
        <v>37</v>
      </c>
      <c r="C24" s="13" t="n">
        <f aca="false">2*$B$6</f>
        <v>6</v>
      </c>
      <c r="D24" s="12" t="n">
        <v>250</v>
      </c>
      <c r="E24" s="14" t="s">
        <v>21</v>
      </c>
      <c r="F24" s="15" t="n">
        <f aca="false">IF(E24="USD",C24*D24*$B$4,C24*D24)</f>
        <v>1500</v>
      </c>
    </row>
    <row r="25" customFormat="false" ht="26.85" hidden="false" customHeight="false" outlineLevel="0" collapsed="false">
      <c r="A25" s="11" t="s">
        <v>38</v>
      </c>
      <c r="B25" s="11" t="s">
        <v>39</v>
      </c>
      <c r="C25" s="13" t="n">
        <f aca="false">1*$B$6</f>
        <v>3</v>
      </c>
      <c r="D25" s="12" t="n">
        <v>400</v>
      </c>
      <c r="E25" s="14" t="s">
        <v>21</v>
      </c>
      <c r="F25" s="15" t="n">
        <f aca="false">IF(E25="USD",C25*D25*$B$4,C25*D25)</f>
        <v>1200</v>
      </c>
    </row>
    <row r="26" customFormat="false" ht="26.85" hidden="false" customHeight="false" outlineLevel="0" collapsed="false">
      <c r="A26" s="11" t="s">
        <v>40</v>
      </c>
      <c r="B26" s="11" t="s">
        <v>41</v>
      </c>
      <c r="C26" s="13" t="n">
        <f aca="false">1*$B$6</f>
        <v>3</v>
      </c>
      <c r="D26" s="12" t="n">
        <v>800</v>
      </c>
      <c r="E26" s="14" t="s">
        <v>21</v>
      </c>
      <c r="F26" s="15" t="n">
        <f aca="false">IF(E26="USD",C26*D26*$B$4,C26*D26)</f>
        <v>2400</v>
      </c>
    </row>
    <row r="27" customFormat="false" ht="115.65" hidden="false" customHeight="false" outlineLevel="0" collapsed="false">
      <c r="A27" s="24" t="s">
        <v>42</v>
      </c>
      <c r="B27" s="25" t="s">
        <v>43</v>
      </c>
      <c r="C27" s="26"/>
      <c r="D27" s="26"/>
      <c r="E27" s="27"/>
      <c r="F27" s="28"/>
    </row>
    <row r="28" customFormat="false" ht="26.85" hidden="false" customHeight="false" outlineLevel="0" collapsed="false">
      <c r="A28" s="11" t="s">
        <v>44</v>
      </c>
      <c r="B28" s="11" t="s">
        <v>45</v>
      </c>
      <c r="C28" s="13" t="n">
        <f aca="false">1*$B$6</f>
        <v>3</v>
      </c>
      <c r="D28" s="12" t="n">
        <v>6500</v>
      </c>
      <c r="E28" s="14" t="s">
        <v>21</v>
      </c>
      <c r="F28" s="15" t="n">
        <f aca="false">IF(E28="USD",C28*D28*$B$4,C28*D28)</f>
        <v>19500</v>
      </c>
    </row>
    <row r="29" customFormat="false" ht="26.85" hidden="false" customHeight="false" outlineLevel="0" collapsed="false">
      <c r="A29" s="11" t="s">
        <v>46</v>
      </c>
      <c r="B29" s="11" t="s">
        <v>47</v>
      </c>
      <c r="C29" s="13" t="n">
        <f aca="false">1*$B$6</f>
        <v>3</v>
      </c>
      <c r="D29" s="12" t="n">
        <v>400</v>
      </c>
      <c r="E29" s="14" t="s">
        <v>21</v>
      </c>
      <c r="F29" s="15" t="n">
        <f aca="false">IF(E29="USD",C29*D29*$B$4,C29*D29)</f>
        <v>1200</v>
      </c>
    </row>
    <row r="30" customFormat="false" ht="26.85" hidden="false" customHeight="false" outlineLevel="0" collapsed="false">
      <c r="A30" s="11" t="s">
        <v>48</v>
      </c>
      <c r="B30" s="11" t="s">
        <v>49</v>
      </c>
      <c r="C30" s="13" t="n">
        <f aca="false">2*$B$6</f>
        <v>6</v>
      </c>
      <c r="D30" s="12" t="n">
        <v>2000</v>
      </c>
      <c r="E30" s="14" t="s">
        <v>21</v>
      </c>
      <c r="F30" s="15" t="n">
        <f aca="false">IF(E30="USD",C30*D30*$B$4,C30*D30)</f>
        <v>12000</v>
      </c>
    </row>
    <row r="31" customFormat="false" ht="26.85" hidden="false" customHeight="false" outlineLevel="0" collapsed="false">
      <c r="A31" s="11" t="s">
        <v>50</v>
      </c>
      <c r="B31" s="11" t="s">
        <v>51</v>
      </c>
      <c r="C31" s="13" t="n">
        <f aca="false">2*$B$6</f>
        <v>6</v>
      </c>
      <c r="D31" s="12" t="n">
        <v>400</v>
      </c>
      <c r="E31" s="14" t="s">
        <v>21</v>
      </c>
      <c r="F31" s="15" t="n">
        <f aca="false">IF(E31="USD",C31*D31*$B$4,C31*D31)</f>
        <v>2400</v>
      </c>
    </row>
    <row r="32" customFormat="false" ht="26.85" hidden="false" customHeight="false" outlineLevel="0" collapsed="false">
      <c r="A32" s="11" t="s">
        <v>52</v>
      </c>
      <c r="B32" s="11" t="s">
        <v>53</v>
      </c>
      <c r="C32" s="13" t="n">
        <f aca="false">2*$B$6</f>
        <v>6</v>
      </c>
      <c r="D32" s="12" t="n">
        <v>1200</v>
      </c>
      <c r="E32" s="14" t="s">
        <v>21</v>
      </c>
      <c r="F32" s="15" t="n">
        <f aca="false">IF(E32="USD",C32*D32*$B$4,C32*D32)</f>
        <v>7200</v>
      </c>
    </row>
    <row r="33" customFormat="false" ht="39.55" hidden="false" customHeight="false" outlineLevel="0" collapsed="false">
      <c r="A33" s="11" t="s">
        <v>54</v>
      </c>
      <c r="B33" s="11" t="s">
        <v>55</v>
      </c>
      <c r="C33" s="13" t="n">
        <f aca="false">1*$B$6</f>
        <v>3</v>
      </c>
      <c r="D33" s="12" t="n">
        <v>3000</v>
      </c>
      <c r="E33" s="14" t="s">
        <v>21</v>
      </c>
      <c r="F33" s="15" t="n">
        <f aca="false">IF(E33="USD",C33*D33*$B$4,C33*D33)</f>
        <v>9000</v>
      </c>
    </row>
    <row r="34" customFormat="false" ht="26.85" hidden="false" customHeight="false" outlineLevel="0" collapsed="false">
      <c r="A34" s="11" t="s">
        <v>56</v>
      </c>
      <c r="B34" s="11" t="s">
        <v>57</v>
      </c>
      <c r="C34" s="13" t="n">
        <f aca="false">1*$B$6</f>
        <v>3</v>
      </c>
      <c r="D34" s="12" t="n">
        <v>2000</v>
      </c>
      <c r="E34" s="14" t="s">
        <v>21</v>
      </c>
      <c r="F34" s="15" t="n">
        <f aca="false">IF(E34="USD",C34*D34*$B$4,C34*D34)</f>
        <v>6000</v>
      </c>
    </row>
    <row r="35" customFormat="false" ht="26.85" hidden="false" customHeight="false" outlineLevel="0" collapsed="false">
      <c r="A35" s="11" t="s">
        <v>58</v>
      </c>
      <c r="B35" s="11" t="s">
        <v>59</v>
      </c>
      <c r="C35" s="13" t="n">
        <f aca="false">1*$B$6</f>
        <v>3</v>
      </c>
      <c r="D35" s="12" t="n">
        <v>800</v>
      </c>
      <c r="E35" s="14" t="s">
        <v>21</v>
      </c>
      <c r="F35" s="15" t="n">
        <f aca="false">IF(E35="USD",C35*D35*$B$4,C35*D35)</f>
        <v>2400</v>
      </c>
    </row>
    <row r="36" customFormat="false" ht="26.85" hidden="false" customHeight="false" outlineLevel="0" collapsed="false">
      <c r="A36" s="11" t="s">
        <v>60</v>
      </c>
      <c r="B36" s="11" t="s">
        <v>61</v>
      </c>
      <c r="C36" s="13" t="n">
        <f aca="false">1*$B$6</f>
        <v>3</v>
      </c>
      <c r="D36" s="12" t="n">
        <v>1500</v>
      </c>
      <c r="E36" s="14" t="s">
        <v>21</v>
      </c>
      <c r="F36" s="15" t="n">
        <f aca="false">IF(E36="USD",C36*D36*$B$4,C36*D36)</f>
        <v>4500</v>
      </c>
    </row>
    <row r="37" customFormat="false" ht="52.2" hidden="false" customHeight="false" outlineLevel="0" collapsed="false">
      <c r="A37" s="24" t="s">
        <v>62</v>
      </c>
      <c r="B37" s="25" t="s">
        <v>63</v>
      </c>
      <c r="C37" s="26"/>
      <c r="D37" s="26"/>
      <c r="E37" s="27"/>
      <c r="F37" s="28"/>
    </row>
    <row r="38" customFormat="false" ht="26.85" hidden="false" customHeight="false" outlineLevel="0" collapsed="false">
      <c r="A38" s="11" t="s">
        <v>64</v>
      </c>
      <c r="B38" s="11" t="s">
        <v>65</v>
      </c>
      <c r="C38" s="13" t="n">
        <f aca="false">1*$B$6</f>
        <v>3</v>
      </c>
      <c r="D38" s="12" t="n">
        <v>1200</v>
      </c>
      <c r="E38" s="14" t="s">
        <v>21</v>
      </c>
      <c r="F38" s="15" t="n">
        <f aca="false">IF(E38="USD",C38*D38*$B$4,C38*D38)</f>
        <v>3600</v>
      </c>
    </row>
    <row r="39" customFormat="false" ht="15" hidden="false" customHeight="false" outlineLevel="0" collapsed="false">
      <c r="A39" s="11" t="s">
        <v>66</v>
      </c>
      <c r="B39" s="11" t="s">
        <v>67</v>
      </c>
      <c r="C39" s="13" t="n">
        <f aca="false">1*$B$6</f>
        <v>3</v>
      </c>
      <c r="D39" s="12" t="n">
        <v>400</v>
      </c>
      <c r="E39" s="14" t="s">
        <v>21</v>
      </c>
      <c r="F39" s="15" t="n">
        <f aca="false">IF(E39="USD",C39*D39*$B$4,C39*D39)</f>
        <v>1200</v>
      </c>
    </row>
    <row r="40" customFormat="false" ht="15" hidden="false" customHeight="false" outlineLevel="0" collapsed="false">
      <c r="A40" s="11" t="s">
        <v>68</v>
      </c>
      <c r="B40" s="11" t="s">
        <v>69</v>
      </c>
      <c r="C40" s="13" t="n">
        <f aca="false">1*$B$6</f>
        <v>3</v>
      </c>
      <c r="D40" s="12" t="n">
        <v>150</v>
      </c>
      <c r="E40" s="14" t="s">
        <v>21</v>
      </c>
      <c r="F40" s="15" t="n">
        <f aca="false">IF(E40="USD",C40*D40*$B$4,C40*D40)</f>
        <v>450</v>
      </c>
    </row>
    <row r="41" customFormat="false" ht="39.55" hidden="false" customHeight="false" outlineLevel="0" collapsed="false">
      <c r="A41" s="24" t="s">
        <v>70</v>
      </c>
      <c r="B41" s="25" t="s">
        <v>71</v>
      </c>
      <c r="C41" s="26"/>
      <c r="D41" s="26"/>
      <c r="E41" s="27"/>
      <c r="F41" s="28"/>
    </row>
    <row r="42" customFormat="false" ht="26.85" hidden="false" customHeight="false" outlineLevel="0" collapsed="false">
      <c r="A42" s="11" t="s">
        <v>72</v>
      </c>
      <c r="B42" s="11" t="s">
        <v>73</v>
      </c>
      <c r="C42" s="13" t="n">
        <f aca="false">1*$B$6</f>
        <v>3</v>
      </c>
      <c r="D42" s="12" t="n">
        <v>300</v>
      </c>
      <c r="E42" s="14" t="s">
        <v>21</v>
      </c>
      <c r="F42" s="15" t="n">
        <f aca="false">IF(E42="USD",C42*D42*$B$4,C42*D42)</f>
        <v>900</v>
      </c>
    </row>
    <row r="43" customFormat="false" ht="26.85" hidden="false" customHeight="false" outlineLevel="0" collapsed="false">
      <c r="A43" s="11" t="s">
        <v>74</v>
      </c>
      <c r="B43" s="11" t="s">
        <v>75</v>
      </c>
      <c r="C43" s="13" t="n">
        <f aca="false">1*$B$6</f>
        <v>3</v>
      </c>
      <c r="D43" s="12" t="n">
        <v>250</v>
      </c>
      <c r="E43" s="14" t="s">
        <v>21</v>
      </c>
      <c r="F43" s="15" t="n">
        <f aca="false">IF(E43="USD",C43*D43*$B$4,C43*D43)</f>
        <v>750</v>
      </c>
    </row>
    <row r="44" customFormat="false" ht="26.85" hidden="false" customHeight="false" outlineLevel="0" collapsed="false">
      <c r="A44" s="11" t="s">
        <v>76</v>
      </c>
      <c r="B44" s="11" t="s">
        <v>77</v>
      </c>
      <c r="C44" s="13" t="n">
        <f aca="false">1*$B$6</f>
        <v>3</v>
      </c>
      <c r="D44" s="12" t="n">
        <v>250</v>
      </c>
      <c r="E44" s="14" t="s">
        <v>21</v>
      </c>
      <c r="F44" s="15" t="n">
        <f aca="false">IF(E44="USD",C44*D44*$B$4,C44*D44)</f>
        <v>750</v>
      </c>
    </row>
    <row r="45" customFormat="false" ht="26.85" hidden="false" customHeight="false" outlineLevel="0" collapsed="false">
      <c r="A45" s="24" t="s">
        <v>78</v>
      </c>
      <c r="B45" s="25" t="s">
        <v>79</v>
      </c>
      <c r="C45" s="26"/>
      <c r="D45" s="26"/>
      <c r="E45" s="27"/>
      <c r="F45" s="28"/>
    </row>
    <row r="46" customFormat="false" ht="26.85" hidden="false" customHeight="false" outlineLevel="0" collapsed="false">
      <c r="A46" s="11" t="s">
        <v>80</v>
      </c>
      <c r="B46" s="11" t="s">
        <v>81</v>
      </c>
      <c r="C46" s="13" t="n">
        <f aca="false">1*$B$6</f>
        <v>3</v>
      </c>
      <c r="D46" s="12" t="n">
        <v>3500</v>
      </c>
      <c r="E46" s="14" t="s">
        <v>21</v>
      </c>
      <c r="F46" s="15" t="n">
        <f aca="false">IF(E46="USD",C46*D46*$B$4,C46*D46)</f>
        <v>10500</v>
      </c>
    </row>
    <row r="47" customFormat="false" ht="26.85" hidden="false" customHeight="false" outlineLevel="0" collapsed="false">
      <c r="A47" s="11" t="s">
        <v>82</v>
      </c>
      <c r="B47" s="11" t="s">
        <v>83</v>
      </c>
      <c r="C47" s="13" t="n">
        <f aca="false">1*$B$6</f>
        <v>3</v>
      </c>
      <c r="D47" s="12" t="n">
        <v>300</v>
      </c>
      <c r="E47" s="14" t="s">
        <v>21</v>
      </c>
      <c r="F47" s="15" t="n">
        <f aca="false">IF(E47="USD",C47*D47*$B$4,C47*D47)</f>
        <v>900</v>
      </c>
    </row>
    <row r="48" customFormat="false" ht="15" hidden="false" customHeight="false" outlineLevel="0" collapsed="false">
      <c r="A48" s="11" t="s">
        <v>84</v>
      </c>
      <c r="B48" s="11" t="s">
        <v>85</v>
      </c>
      <c r="C48" s="13" t="n">
        <f aca="false">1*$B$6</f>
        <v>3</v>
      </c>
      <c r="D48" s="12" t="n">
        <v>400</v>
      </c>
      <c r="E48" s="14" t="s">
        <v>21</v>
      </c>
      <c r="F48" s="15" t="n">
        <f aca="false">IF(E48="USD",C48*D48*$B$4,C48*D48)</f>
        <v>1200</v>
      </c>
    </row>
    <row r="49" customFormat="false" ht="26.85" hidden="false" customHeight="false" outlineLevel="0" collapsed="false">
      <c r="A49" s="11" t="s">
        <v>86</v>
      </c>
      <c r="B49" s="11" t="s">
        <v>87</v>
      </c>
      <c r="C49" s="13" t="n">
        <f aca="false">1*$B$6</f>
        <v>3</v>
      </c>
      <c r="D49" s="12" t="n">
        <v>200</v>
      </c>
      <c r="E49" s="14" t="s">
        <v>21</v>
      </c>
      <c r="F49" s="15" t="n">
        <f aca="false">IF(E49="USD",C49*D49*$B$4,C49*D49)</f>
        <v>600</v>
      </c>
    </row>
    <row r="50" customFormat="false" ht="26.85" hidden="false" customHeight="false" outlineLevel="0" collapsed="false">
      <c r="A50" s="11" t="s">
        <v>88</v>
      </c>
      <c r="B50" s="11" t="s">
        <v>89</v>
      </c>
      <c r="C50" s="13" t="n">
        <f aca="false">1*$B$6</f>
        <v>3</v>
      </c>
      <c r="D50" s="12" t="n">
        <v>900</v>
      </c>
      <c r="E50" s="14" t="s">
        <v>21</v>
      </c>
      <c r="F50" s="15" t="n">
        <f aca="false">IF(E50="USD",C50*D50*$B$4,C50*D50)</f>
        <v>2700</v>
      </c>
    </row>
    <row r="51" customFormat="false" ht="26.85" hidden="false" customHeight="false" outlineLevel="0" collapsed="false">
      <c r="A51" s="11" t="s">
        <v>90</v>
      </c>
      <c r="B51" s="11" t="s">
        <v>91</v>
      </c>
      <c r="C51" s="13" t="n">
        <f aca="false">1*$B$6</f>
        <v>3</v>
      </c>
      <c r="D51" s="12" t="n">
        <v>400</v>
      </c>
      <c r="E51" s="14" t="s">
        <v>21</v>
      </c>
      <c r="F51" s="15" t="n">
        <f aca="false">IF(E51="USD",C51*D51*$B$4,C51*D51)</f>
        <v>1200</v>
      </c>
    </row>
    <row r="52" customFormat="false" ht="39.55" hidden="false" customHeight="false" outlineLevel="0" collapsed="false">
      <c r="A52" s="24" t="s">
        <v>92</v>
      </c>
      <c r="B52" s="25" t="s">
        <v>93</v>
      </c>
      <c r="C52" s="26"/>
      <c r="D52" s="26"/>
      <c r="E52" s="27"/>
      <c r="F52" s="28"/>
    </row>
    <row r="53" customFormat="false" ht="26.85" hidden="false" customHeight="false" outlineLevel="0" collapsed="false">
      <c r="A53" s="11" t="s">
        <v>94</v>
      </c>
      <c r="B53" s="11" t="s">
        <v>95</v>
      </c>
      <c r="C53" s="13" t="n">
        <f aca="false">1*$B$6</f>
        <v>3</v>
      </c>
      <c r="D53" s="12" t="n">
        <v>3500</v>
      </c>
      <c r="E53" s="14" t="s">
        <v>21</v>
      </c>
      <c r="F53" s="15" t="n">
        <f aca="false">IF(E53="USD",C53*D53*$B$4,C53*D53)</f>
        <v>10500</v>
      </c>
    </row>
    <row r="54" customFormat="false" ht="26.85" hidden="false" customHeight="false" outlineLevel="0" collapsed="false">
      <c r="A54" s="11" t="s">
        <v>96</v>
      </c>
      <c r="B54" s="11" t="s">
        <v>97</v>
      </c>
      <c r="C54" s="13" t="n">
        <f aca="false">1*$B$6</f>
        <v>3</v>
      </c>
      <c r="D54" s="12" t="n">
        <v>1500</v>
      </c>
      <c r="E54" s="14" t="s">
        <v>21</v>
      </c>
      <c r="F54" s="15" t="n">
        <f aca="false">IF(E54="USD",C54*D54*$B$4,C54*D54)</f>
        <v>4500</v>
      </c>
    </row>
    <row r="55" customFormat="false" ht="26.85" hidden="false" customHeight="false" outlineLevel="0" collapsed="false">
      <c r="A55" s="11" t="s">
        <v>98</v>
      </c>
      <c r="B55" s="11" t="s">
        <v>99</v>
      </c>
      <c r="C55" s="13" t="n">
        <f aca="false">1*$B$6</f>
        <v>3</v>
      </c>
      <c r="D55" s="12" t="n">
        <v>1500</v>
      </c>
      <c r="E55" s="14" t="s">
        <v>21</v>
      </c>
      <c r="F55" s="15" t="n">
        <f aca="false">IF(E55="USD",C55*D55*$B$4,C55*D55)</f>
        <v>4500</v>
      </c>
    </row>
    <row r="56" customFormat="false" ht="26.85" hidden="false" customHeight="false" outlineLevel="0" collapsed="false">
      <c r="A56" s="11" t="s">
        <v>100</v>
      </c>
      <c r="B56" s="11" t="s">
        <v>101</v>
      </c>
      <c r="C56" s="13" t="n">
        <f aca="false">1*$B$6</f>
        <v>3</v>
      </c>
      <c r="D56" s="12" t="n">
        <v>600</v>
      </c>
      <c r="E56" s="14" t="s">
        <v>21</v>
      </c>
      <c r="F56" s="15" t="n">
        <f aca="false">IF(E56="USD",C56*D56*$B$4,C56*D56)</f>
        <v>1800</v>
      </c>
    </row>
    <row r="57" customFormat="false" ht="26.85" hidden="false" customHeight="false" outlineLevel="0" collapsed="false">
      <c r="A57" s="11" t="s">
        <v>102</v>
      </c>
      <c r="B57" s="11" t="s">
        <v>103</v>
      </c>
      <c r="C57" s="13" t="n">
        <f aca="false">1*$B$6</f>
        <v>3</v>
      </c>
      <c r="D57" s="12" t="n">
        <v>800</v>
      </c>
      <c r="E57" s="14" t="s">
        <v>21</v>
      </c>
      <c r="F57" s="15" t="n">
        <f aca="false">IF(E57="USD",C57*D57*$B$4,C57*D57)</f>
        <v>2400</v>
      </c>
    </row>
    <row r="58" customFormat="false" ht="26.85" hidden="false" customHeight="false" outlineLevel="0" collapsed="false">
      <c r="A58" s="11" t="s">
        <v>104</v>
      </c>
      <c r="B58" s="11" t="s">
        <v>105</v>
      </c>
      <c r="C58" s="13" t="n">
        <f aca="false">1*$B$6</f>
        <v>3</v>
      </c>
      <c r="D58" s="12" t="n">
        <v>400</v>
      </c>
      <c r="E58" s="14" t="s">
        <v>21</v>
      </c>
      <c r="F58" s="15" t="n">
        <f aca="false">IF(E58="USD",C58*D58*$B$4,C58*D58)</f>
        <v>1200</v>
      </c>
    </row>
    <row r="59" customFormat="false" ht="39.55" hidden="false" customHeight="false" outlineLevel="0" collapsed="false">
      <c r="A59" s="24" t="s">
        <v>106</v>
      </c>
      <c r="B59" s="25" t="s">
        <v>107</v>
      </c>
      <c r="C59" s="26"/>
      <c r="D59" s="26"/>
      <c r="E59" s="27"/>
      <c r="F59" s="28"/>
    </row>
    <row r="60" customFormat="false" ht="26.85" hidden="false" customHeight="false" outlineLevel="0" collapsed="false">
      <c r="A60" s="11" t="s">
        <v>108</v>
      </c>
      <c r="B60" s="11" t="s">
        <v>109</v>
      </c>
      <c r="C60" s="13" t="n">
        <f aca="false">1*$B$6</f>
        <v>3</v>
      </c>
      <c r="D60" s="12" t="n">
        <v>1500</v>
      </c>
      <c r="E60" s="14" t="s">
        <v>21</v>
      </c>
      <c r="F60" s="15" t="n">
        <f aca="false">IF(E60="USD",C60*D60*$B$4,C60*D60)</f>
        <v>4500</v>
      </c>
    </row>
    <row r="61" customFormat="false" ht="64.9" hidden="false" customHeight="false" outlineLevel="0" collapsed="false">
      <c r="A61" s="24" t="s">
        <v>110</v>
      </c>
      <c r="B61" s="25" t="s">
        <v>111</v>
      </c>
      <c r="C61" s="26"/>
      <c r="D61" s="26"/>
      <c r="E61" s="27"/>
      <c r="F61" s="28"/>
    </row>
    <row r="62" customFormat="false" ht="39.55" hidden="false" customHeight="false" outlineLevel="0" collapsed="false">
      <c r="A62" s="11" t="s">
        <v>112</v>
      </c>
      <c r="B62" s="11" t="s">
        <v>113</v>
      </c>
      <c r="C62" s="13" t="n">
        <f aca="false">1*$B$7</f>
        <v>22</v>
      </c>
      <c r="D62" s="12" t="n">
        <v>3000</v>
      </c>
      <c r="E62" s="14" t="s">
        <v>21</v>
      </c>
      <c r="F62" s="15" t="n">
        <f aca="false">IF(E62="USD",C62*D62*$B$4,C62*D62)</f>
        <v>66000</v>
      </c>
    </row>
    <row r="63" customFormat="false" ht="26.85" hidden="false" customHeight="false" outlineLevel="0" collapsed="false">
      <c r="A63" s="11" t="s">
        <v>114</v>
      </c>
      <c r="B63" s="11" t="s">
        <v>115</v>
      </c>
      <c r="C63" s="13" t="n">
        <f aca="false">1*$B$7</f>
        <v>22</v>
      </c>
      <c r="D63" s="12" t="n">
        <v>1750</v>
      </c>
      <c r="E63" s="14" t="s">
        <v>21</v>
      </c>
      <c r="F63" s="15" t="n">
        <f aca="false">IF(E63="USD",C63*D63*$B$4,C63*D63)</f>
        <v>38500</v>
      </c>
    </row>
    <row r="64" customFormat="false" ht="26.85" hidden="false" customHeight="false" outlineLevel="0" collapsed="false">
      <c r="A64" s="11" t="s">
        <v>116</v>
      </c>
      <c r="B64" s="11" t="s">
        <v>117</v>
      </c>
      <c r="C64" s="13" t="n">
        <f aca="false">1*$B$7</f>
        <v>22</v>
      </c>
      <c r="D64" s="12" t="n">
        <v>2000</v>
      </c>
      <c r="E64" s="14" t="s">
        <v>21</v>
      </c>
      <c r="F64" s="15" t="n">
        <f aca="false">IF(E64="USD",C64*D64*$B$4,C64*D64)</f>
        <v>44000</v>
      </c>
    </row>
    <row r="65" customFormat="false" ht="26.85" hidden="false" customHeight="false" outlineLevel="0" collapsed="false">
      <c r="A65" s="11" t="s">
        <v>118</v>
      </c>
      <c r="B65" s="11" t="s">
        <v>119</v>
      </c>
      <c r="C65" s="13" t="n">
        <f aca="false">1*$B$7</f>
        <v>22</v>
      </c>
      <c r="D65" s="12" t="n">
        <v>800</v>
      </c>
      <c r="E65" s="14" t="s">
        <v>21</v>
      </c>
      <c r="F65" s="15" t="n">
        <f aca="false">IF(E65="USD",C65*D65*$B$4,C65*D65)</f>
        <v>17600</v>
      </c>
    </row>
    <row r="66" customFormat="false" ht="52.2" hidden="false" customHeight="false" outlineLevel="0" collapsed="false">
      <c r="A66" s="11" t="s">
        <v>120</v>
      </c>
      <c r="B66" s="11" t="s">
        <v>121</v>
      </c>
      <c r="C66" s="13" t="n">
        <f aca="false">4*$B$7</f>
        <v>88</v>
      </c>
      <c r="D66" s="12" t="n">
        <v>750</v>
      </c>
      <c r="E66" s="14" t="s">
        <v>21</v>
      </c>
      <c r="F66" s="15" t="n">
        <f aca="false">IF(E66="USD",C66*D66*$B$4,C66*D66)</f>
        <v>66000</v>
      </c>
    </row>
    <row r="67" customFormat="false" ht="39.55" hidden="false" customHeight="false" outlineLevel="0" collapsed="false">
      <c r="A67" s="11" t="s">
        <v>122</v>
      </c>
      <c r="B67" s="11" t="s">
        <v>123</v>
      </c>
      <c r="C67" s="13" t="n">
        <f aca="false">1*$B$7</f>
        <v>22</v>
      </c>
      <c r="D67" s="12" t="n">
        <v>500</v>
      </c>
      <c r="E67" s="14" t="s">
        <v>21</v>
      </c>
      <c r="F67" s="15" t="n">
        <f aca="false">IF(E67="USD",C67*D67*$B$4,C67*D67)</f>
        <v>11000</v>
      </c>
    </row>
    <row r="68" customFormat="false" ht="26.85" hidden="false" customHeight="false" outlineLevel="0" collapsed="false">
      <c r="A68" s="11" t="s">
        <v>124</v>
      </c>
      <c r="B68" s="11" t="s">
        <v>125</v>
      </c>
      <c r="C68" s="13" t="n">
        <f aca="false">1*$B$7</f>
        <v>22</v>
      </c>
      <c r="D68" s="12" t="n">
        <v>400</v>
      </c>
      <c r="E68" s="14" t="s">
        <v>21</v>
      </c>
      <c r="F68" s="15" t="n">
        <f aca="false">IF(E68="USD",C68*D68*$B$4,C68*D68)</f>
        <v>8800</v>
      </c>
    </row>
    <row r="69" customFormat="false" ht="26.85" hidden="false" customHeight="false" outlineLevel="0" collapsed="false">
      <c r="A69" s="11" t="s">
        <v>126</v>
      </c>
      <c r="B69" s="11" t="s">
        <v>127</v>
      </c>
      <c r="C69" s="13" t="n">
        <f aca="false">1*$B$7</f>
        <v>22</v>
      </c>
      <c r="D69" s="12" t="n">
        <v>1200</v>
      </c>
      <c r="E69" s="14" t="s">
        <v>21</v>
      </c>
      <c r="F69" s="15" t="n">
        <f aca="false">IF(E69="USD",C69*D69*$B$4,C69*D69)</f>
        <v>26400</v>
      </c>
    </row>
    <row r="70" customFormat="false" ht="26.85" hidden="false" customHeight="false" outlineLevel="0" collapsed="false">
      <c r="A70" s="11" t="s">
        <v>128</v>
      </c>
      <c r="B70" s="11" t="s">
        <v>129</v>
      </c>
      <c r="C70" s="13" t="n">
        <f aca="false">1*$B$7</f>
        <v>22</v>
      </c>
      <c r="D70" s="12" t="n">
        <v>1800</v>
      </c>
      <c r="E70" s="14" t="s">
        <v>21</v>
      </c>
      <c r="F70" s="15" t="n">
        <f aca="false">IF(E70="USD",C70*D70*$B$4,C70*D70)</f>
        <v>39600</v>
      </c>
    </row>
    <row r="71" customFormat="false" ht="39.55" hidden="false" customHeight="false" outlineLevel="0" collapsed="false">
      <c r="A71" s="11" t="s">
        <v>130</v>
      </c>
      <c r="B71" s="11" t="s">
        <v>131</v>
      </c>
      <c r="C71" s="13" t="n">
        <f aca="false">1*$B$7</f>
        <v>22</v>
      </c>
      <c r="D71" s="12" t="n">
        <v>1500</v>
      </c>
      <c r="E71" s="14" t="s">
        <v>21</v>
      </c>
      <c r="F71" s="15" t="n">
        <f aca="false">IF(E71="USD",C71*D71*$B$4,C71*D71)</f>
        <v>33000</v>
      </c>
    </row>
    <row r="72" customFormat="false" ht="26.85" hidden="false" customHeight="false" outlineLevel="0" collapsed="false">
      <c r="A72" s="11" t="s">
        <v>132</v>
      </c>
      <c r="B72" s="11" t="s">
        <v>133</v>
      </c>
      <c r="C72" s="13" t="n">
        <f aca="false">1*$B$7</f>
        <v>22</v>
      </c>
      <c r="D72" s="12" t="n">
        <v>550</v>
      </c>
      <c r="E72" s="14" t="s">
        <v>21</v>
      </c>
      <c r="F72" s="15" t="n">
        <f aca="false">IF(E72="USD",C72*D72*$B$4,C72*D72)</f>
        <v>12100</v>
      </c>
    </row>
    <row r="73" customFormat="false" ht="26.85" hidden="false" customHeight="false" outlineLevel="0" collapsed="false">
      <c r="A73" s="11" t="s">
        <v>134</v>
      </c>
      <c r="B73" s="11" t="s">
        <v>135</v>
      </c>
      <c r="C73" s="13" t="n">
        <f aca="false">1*$B$7</f>
        <v>22</v>
      </c>
      <c r="D73" s="12" t="n">
        <v>650</v>
      </c>
      <c r="E73" s="14" t="s">
        <v>21</v>
      </c>
      <c r="F73" s="15" t="n">
        <f aca="false">IF(E73="USD",C73*D73*$B$4,C73*D73)</f>
        <v>14300</v>
      </c>
    </row>
    <row r="74" customFormat="false" ht="39.55" hidden="false" customHeight="false" outlineLevel="0" collapsed="false">
      <c r="A74" s="11" t="s">
        <v>136</v>
      </c>
      <c r="B74" s="11" t="s">
        <v>137</v>
      </c>
      <c r="C74" s="13" t="n">
        <f aca="false">1*$B$7</f>
        <v>22</v>
      </c>
      <c r="D74" s="12" t="n">
        <v>350</v>
      </c>
      <c r="E74" s="14" t="s">
        <v>21</v>
      </c>
      <c r="F74" s="15" t="n">
        <f aca="false">IF(E74="USD",C74*D74*$B$4,C74*D74)</f>
        <v>7700</v>
      </c>
    </row>
    <row r="75" customFormat="false" ht="64.9" hidden="false" customHeight="false" outlineLevel="0" collapsed="false">
      <c r="A75" s="24" t="s">
        <v>138</v>
      </c>
      <c r="B75" s="25" t="s">
        <v>139</v>
      </c>
      <c r="C75" s="26"/>
      <c r="D75" s="26"/>
      <c r="E75" s="27"/>
      <c r="F75" s="28"/>
    </row>
    <row r="76" customFormat="false" ht="39.55" hidden="false" customHeight="false" outlineLevel="0" collapsed="false">
      <c r="A76" s="11" t="s">
        <v>140</v>
      </c>
      <c r="B76" s="11" t="s">
        <v>141</v>
      </c>
      <c r="C76" s="13" t="n">
        <f aca="false">1*$B$8</f>
        <v>2</v>
      </c>
      <c r="D76" s="12" t="n">
        <v>3000</v>
      </c>
      <c r="E76" s="14" t="s">
        <v>21</v>
      </c>
      <c r="F76" s="15" t="n">
        <f aca="false">IF(E76="USD",C76*D76*$B$4,C76*D76)</f>
        <v>6000</v>
      </c>
    </row>
    <row r="77" customFormat="false" ht="26.85" hidden="false" customHeight="false" outlineLevel="0" collapsed="false">
      <c r="A77" s="11" t="s">
        <v>142</v>
      </c>
      <c r="B77" s="11" t="s">
        <v>143</v>
      </c>
      <c r="C77" s="13" t="n">
        <f aca="false">1*$B$8</f>
        <v>2</v>
      </c>
      <c r="D77" s="12" t="n">
        <v>3500</v>
      </c>
      <c r="E77" s="14" t="s">
        <v>21</v>
      </c>
      <c r="F77" s="15" t="n">
        <f aca="false">IF(E77="USD",C77*D77*$B$4,C77*D77)</f>
        <v>7000</v>
      </c>
    </row>
    <row r="78" customFormat="false" ht="26.85" hidden="false" customHeight="false" outlineLevel="0" collapsed="false">
      <c r="A78" s="11" t="s">
        <v>144</v>
      </c>
      <c r="B78" s="11" t="s">
        <v>145</v>
      </c>
      <c r="C78" s="13" t="n">
        <f aca="false">1*$B$8</f>
        <v>2</v>
      </c>
      <c r="D78" s="12" t="n">
        <v>1500</v>
      </c>
      <c r="E78" s="14" t="s">
        <v>21</v>
      </c>
      <c r="F78" s="15" t="n">
        <f aca="false">IF(E78="USD",C78*D78*$B$4,C78*D78)</f>
        <v>3000</v>
      </c>
    </row>
    <row r="79" customFormat="false" ht="15" hidden="false" customHeight="false" outlineLevel="0" collapsed="false">
      <c r="A79" s="11" t="s">
        <v>146</v>
      </c>
      <c r="B79" s="11" t="s">
        <v>147</v>
      </c>
      <c r="C79" s="13" t="n">
        <f aca="false">1*$B$8</f>
        <v>2</v>
      </c>
      <c r="D79" s="12" t="n">
        <v>800</v>
      </c>
      <c r="E79" s="14" t="s">
        <v>21</v>
      </c>
      <c r="F79" s="15" t="n">
        <f aca="false">IF(E79="USD",C79*D79*$B$4,C79*D79)</f>
        <v>1600</v>
      </c>
    </row>
    <row r="80" customFormat="false" ht="26.85" hidden="false" customHeight="false" outlineLevel="0" collapsed="false">
      <c r="A80" s="11" t="s">
        <v>148</v>
      </c>
      <c r="B80" s="11" t="s">
        <v>149</v>
      </c>
      <c r="C80" s="13" t="n">
        <f aca="false">1*$B$8</f>
        <v>2</v>
      </c>
      <c r="D80" s="12" t="n">
        <v>1500</v>
      </c>
      <c r="E80" s="14" t="s">
        <v>21</v>
      </c>
      <c r="F80" s="15" t="n">
        <f aca="false">IF(E80="USD",C80*D80*$B$4,C80*D80)</f>
        <v>3000</v>
      </c>
    </row>
    <row r="81" customFormat="false" ht="26.85" hidden="false" customHeight="false" outlineLevel="0" collapsed="false">
      <c r="A81" s="11" t="s">
        <v>150</v>
      </c>
      <c r="B81" s="11" t="s">
        <v>151</v>
      </c>
      <c r="C81" s="13" t="n">
        <f aca="false">1*$B$8</f>
        <v>2</v>
      </c>
      <c r="D81" s="12" t="n">
        <v>1500</v>
      </c>
      <c r="E81" s="14" t="s">
        <v>21</v>
      </c>
      <c r="F81" s="15" t="n">
        <f aca="false">IF(E81="USD",C81*D81*$B$4,C81*D81)</f>
        <v>3000</v>
      </c>
    </row>
    <row r="82" customFormat="false" ht="39.55" hidden="false" customHeight="false" outlineLevel="0" collapsed="false">
      <c r="A82" s="11" t="s">
        <v>152</v>
      </c>
      <c r="B82" s="11" t="s">
        <v>153</v>
      </c>
      <c r="C82" s="13" t="n">
        <f aca="false">1*$B$8</f>
        <v>2</v>
      </c>
      <c r="D82" s="12" t="n">
        <v>6000</v>
      </c>
      <c r="E82" s="14" t="s">
        <v>21</v>
      </c>
      <c r="F82" s="15" t="n">
        <f aca="false">IF(E82="USD",C82*D82*$B$4,C82*D82)</f>
        <v>12000</v>
      </c>
    </row>
    <row r="83" customFormat="false" ht="26.85" hidden="false" customHeight="false" outlineLevel="0" collapsed="false">
      <c r="A83" s="11" t="s">
        <v>154</v>
      </c>
      <c r="B83" s="11" t="s">
        <v>155</v>
      </c>
      <c r="C83" s="13" t="n">
        <f aca="false">1*$B$8</f>
        <v>2</v>
      </c>
      <c r="D83" s="12" t="n">
        <v>3500</v>
      </c>
      <c r="E83" s="14" t="s">
        <v>21</v>
      </c>
      <c r="F83" s="15" t="n">
        <f aca="false">IF(E83="USD",C83*D83*$B$4,C83*D83)</f>
        <v>7000</v>
      </c>
    </row>
    <row r="84" customFormat="false" ht="26.85" hidden="false" customHeight="false" outlineLevel="0" collapsed="false">
      <c r="A84" s="11" t="s">
        <v>156</v>
      </c>
      <c r="B84" s="11" t="s">
        <v>157</v>
      </c>
      <c r="C84" s="13" t="n">
        <f aca="false">1*$B$8</f>
        <v>2</v>
      </c>
      <c r="D84" s="12" t="n">
        <v>1600</v>
      </c>
      <c r="E84" s="14" t="s">
        <v>21</v>
      </c>
      <c r="F84" s="15" t="n">
        <f aca="false">IF(E84="USD",C84*D84*$B$4,C84*D84)</f>
        <v>3200</v>
      </c>
    </row>
    <row r="85" customFormat="false" ht="26.85" hidden="false" customHeight="false" outlineLevel="0" collapsed="false">
      <c r="A85" s="11" t="s">
        <v>158</v>
      </c>
      <c r="B85" s="11" t="s">
        <v>159</v>
      </c>
      <c r="C85" s="13" t="n">
        <f aca="false">1*$B$8</f>
        <v>2</v>
      </c>
      <c r="D85" s="12" t="n">
        <v>3500</v>
      </c>
      <c r="E85" s="14" t="s">
        <v>21</v>
      </c>
      <c r="F85" s="15" t="n">
        <f aca="false">IF(E85="USD",C85*D85*$B$4,C85*D85)</f>
        <v>7000</v>
      </c>
    </row>
    <row r="86" customFormat="false" ht="39.55" hidden="false" customHeight="false" outlineLevel="0" collapsed="false">
      <c r="A86" s="11" t="s">
        <v>160</v>
      </c>
      <c r="B86" s="11" t="s">
        <v>161</v>
      </c>
      <c r="C86" s="13" t="n">
        <f aca="false">1*$B$8</f>
        <v>2</v>
      </c>
      <c r="D86" s="12" t="n">
        <v>6000</v>
      </c>
      <c r="E86" s="14" t="s">
        <v>21</v>
      </c>
      <c r="F86" s="15" t="n">
        <f aca="false">IF(E86="USD",C86*D86*$B$4,C86*D86)</f>
        <v>12000</v>
      </c>
    </row>
    <row r="87" customFormat="false" ht="26.85" hidden="false" customHeight="false" outlineLevel="0" collapsed="false">
      <c r="A87" s="11" t="s">
        <v>162</v>
      </c>
      <c r="B87" s="11" t="s">
        <v>163</v>
      </c>
      <c r="C87" s="13" t="n">
        <f aca="false">1*$B$8</f>
        <v>2</v>
      </c>
      <c r="D87" s="12" t="n">
        <v>2500</v>
      </c>
      <c r="E87" s="14" t="s">
        <v>21</v>
      </c>
      <c r="F87" s="15" t="n">
        <f aca="false">IF(E87="USD",C87*D87*$B$4,C87*D87)</f>
        <v>5000</v>
      </c>
    </row>
    <row r="88" customFormat="false" ht="26.85" hidden="false" customHeight="false" outlineLevel="0" collapsed="false">
      <c r="A88" s="11" t="s">
        <v>164</v>
      </c>
      <c r="B88" s="11" t="s">
        <v>157</v>
      </c>
      <c r="C88" s="13" t="n">
        <f aca="false">1*$B$8</f>
        <v>2</v>
      </c>
      <c r="D88" s="12" t="n">
        <v>1700</v>
      </c>
      <c r="E88" s="14" t="s">
        <v>21</v>
      </c>
      <c r="F88" s="15" t="n">
        <f aca="false">IF(E88="USD",C88*D88*$B$4,C88*D88)</f>
        <v>3400</v>
      </c>
    </row>
    <row r="89" customFormat="false" ht="26.85" hidden="false" customHeight="false" outlineLevel="0" collapsed="false">
      <c r="A89" s="11" t="s">
        <v>165</v>
      </c>
      <c r="B89" s="11" t="s">
        <v>166</v>
      </c>
      <c r="C89" s="13" t="n">
        <f aca="false">1*$B$8</f>
        <v>2</v>
      </c>
      <c r="D89" s="12" t="n">
        <v>800</v>
      </c>
      <c r="E89" s="14" t="s">
        <v>21</v>
      </c>
      <c r="F89" s="15" t="n">
        <f aca="false">IF(E89="USD",C89*D89*$B$4,C89*D89)</f>
        <v>1600</v>
      </c>
    </row>
    <row r="90" customFormat="false" ht="26.85" hidden="false" customHeight="false" outlineLevel="0" collapsed="false">
      <c r="A90" s="24" t="s">
        <v>167</v>
      </c>
      <c r="B90" s="25" t="s">
        <v>168</v>
      </c>
      <c r="C90" s="26"/>
      <c r="D90" s="26"/>
      <c r="E90" s="27"/>
      <c r="F90" s="28"/>
    </row>
    <row r="91" customFormat="false" ht="39.55" hidden="false" customHeight="false" outlineLevel="0" collapsed="false">
      <c r="A91" s="11" t="s">
        <v>169</v>
      </c>
      <c r="B91" s="11" t="s">
        <v>170</v>
      </c>
      <c r="C91" s="12" t="n">
        <v>1</v>
      </c>
      <c r="D91" s="12" t="n">
        <v>2000</v>
      </c>
      <c r="E91" s="14" t="s">
        <v>21</v>
      </c>
      <c r="F91" s="15" t="n">
        <f aca="false">IF(E91="USD",C91*D91*$B$4,C91*D91)</f>
        <v>2000</v>
      </c>
    </row>
    <row r="92" customFormat="false" ht="26.85" hidden="false" customHeight="false" outlineLevel="0" collapsed="false">
      <c r="A92" s="11" t="s">
        <v>171</v>
      </c>
      <c r="B92" s="11" t="s">
        <v>172</v>
      </c>
      <c r="C92" s="12" t="n">
        <v>1</v>
      </c>
      <c r="D92" s="12" t="n">
        <v>1500</v>
      </c>
      <c r="E92" s="14" t="s">
        <v>21</v>
      </c>
      <c r="F92" s="15" t="n">
        <f aca="false">IF(E92="USD",C92*D92*$B$4,C92*D92)</f>
        <v>1500</v>
      </c>
    </row>
    <row r="93" customFormat="false" ht="26.85" hidden="false" customHeight="false" outlineLevel="0" collapsed="false">
      <c r="A93" s="11" t="s">
        <v>173</v>
      </c>
      <c r="B93" s="11" t="s">
        <v>174</v>
      </c>
      <c r="C93" s="12" t="n">
        <v>1</v>
      </c>
      <c r="D93" s="12" t="n">
        <v>600</v>
      </c>
      <c r="E93" s="14" t="s">
        <v>21</v>
      </c>
      <c r="F93" s="15" t="n">
        <f aca="false">IF(E93="USD",C93*D93*$B$4,C93*D93)</f>
        <v>600</v>
      </c>
    </row>
    <row r="94" customFormat="false" ht="52.2" hidden="false" customHeight="false" outlineLevel="0" collapsed="false">
      <c r="A94" s="11" t="s">
        <v>175</v>
      </c>
      <c r="B94" s="11" t="s">
        <v>176</v>
      </c>
      <c r="C94" s="12" t="n">
        <v>1</v>
      </c>
      <c r="D94" s="12" t="n">
        <v>8500</v>
      </c>
      <c r="E94" s="14" t="s">
        <v>21</v>
      </c>
      <c r="F94" s="15" t="n">
        <f aca="false">IF(E94="USD",C94*D94*$B$4,C94*D94)</f>
        <v>8500</v>
      </c>
    </row>
    <row r="95" customFormat="false" ht="52.2" hidden="false" customHeight="false" outlineLevel="0" collapsed="false">
      <c r="A95" s="11" t="s">
        <v>177</v>
      </c>
      <c r="B95" s="11" t="s">
        <v>178</v>
      </c>
      <c r="C95" s="12" t="n">
        <v>2</v>
      </c>
      <c r="D95" s="12" t="n">
        <v>4199</v>
      </c>
      <c r="E95" s="14" t="s">
        <v>21</v>
      </c>
      <c r="F95" s="15" t="n">
        <f aca="false">IF(E95="USD",C95*D95*$B$4,C95*D95)</f>
        <v>8398</v>
      </c>
    </row>
    <row r="96" customFormat="false" ht="26.85" hidden="false" customHeight="false" outlineLevel="0" collapsed="false">
      <c r="A96" s="11" t="s">
        <v>179</v>
      </c>
      <c r="B96" s="11" t="s">
        <v>180</v>
      </c>
      <c r="C96" s="12" t="n">
        <v>1</v>
      </c>
      <c r="D96" s="12" t="n">
        <v>4150</v>
      </c>
      <c r="E96" s="14" t="s">
        <v>21</v>
      </c>
      <c r="F96" s="15" t="n">
        <f aca="false">IF(E96="USD",C96*D96*$B$4,C96*D96)</f>
        <v>4150</v>
      </c>
    </row>
    <row r="97" customFormat="false" ht="64.9" hidden="false" customHeight="false" outlineLevel="0" collapsed="false">
      <c r="A97" s="11" t="s">
        <v>181</v>
      </c>
      <c r="B97" s="11" t="s">
        <v>182</v>
      </c>
      <c r="C97" s="12" t="n">
        <v>1</v>
      </c>
      <c r="D97" s="12" t="n">
        <v>8100</v>
      </c>
      <c r="E97" s="14" t="s">
        <v>21</v>
      </c>
      <c r="F97" s="15" t="n">
        <f aca="false">IF(E97="USD",C97*D97*$B$4,C97*D97)</f>
        <v>8100</v>
      </c>
    </row>
    <row r="98" customFormat="false" ht="39.55" hidden="false" customHeight="false" outlineLevel="0" collapsed="false">
      <c r="A98" s="11" t="s">
        <v>183</v>
      </c>
      <c r="B98" s="11" t="s">
        <v>184</v>
      </c>
      <c r="C98" s="12" t="n">
        <v>1</v>
      </c>
      <c r="D98" s="12" t="n">
        <v>4200</v>
      </c>
      <c r="E98" s="14" t="s">
        <v>21</v>
      </c>
      <c r="F98" s="15" t="n">
        <f aca="false">IF(E98="USD",C98*D98*$B$4,C98*D98)</f>
        <v>4200</v>
      </c>
    </row>
    <row r="99" customFormat="false" ht="15" hidden="false" customHeight="false" outlineLevel="0" collapsed="false">
      <c r="A99" s="11" t="s">
        <v>185</v>
      </c>
      <c r="B99" s="11" t="s">
        <v>186</v>
      </c>
      <c r="C99" s="12" t="n">
        <v>2</v>
      </c>
      <c r="D99" s="12" t="n">
        <v>500</v>
      </c>
      <c r="E99" s="14" t="s">
        <v>21</v>
      </c>
      <c r="F99" s="15" t="n">
        <f aca="false">IF(E99="USD",C99*D99*$B$4,C99*D99)</f>
        <v>1000</v>
      </c>
    </row>
    <row r="100" customFormat="false" ht="39.55" hidden="false" customHeight="false" outlineLevel="0" collapsed="false">
      <c r="A100" s="11" t="s">
        <v>187</v>
      </c>
      <c r="B100" s="11" t="s">
        <v>188</v>
      </c>
      <c r="C100" s="12" t="n">
        <v>1</v>
      </c>
      <c r="D100" s="12" t="n">
        <v>5500</v>
      </c>
      <c r="E100" s="14" t="s">
        <v>21</v>
      </c>
      <c r="F100" s="15" t="n">
        <f aca="false">IF(E100="USD",C100*D100*$B$4,C100*D100)</f>
        <v>5500</v>
      </c>
    </row>
    <row r="101" customFormat="false" ht="39.55" hidden="false" customHeight="false" outlineLevel="0" collapsed="false">
      <c r="A101" s="11" t="s">
        <v>189</v>
      </c>
      <c r="B101" s="11" t="s">
        <v>190</v>
      </c>
      <c r="C101" s="12" t="n">
        <v>1</v>
      </c>
      <c r="D101" s="12" t="n">
        <v>6000</v>
      </c>
      <c r="E101" s="14" t="s">
        <v>21</v>
      </c>
      <c r="F101" s="15" t="n">
        <f aca="false">IF(E101="USD",C101*D101*$B$4,C101*D101)</f>
        <v>6000</v>
      </c>
    </row>
    <row r="102" customFormat="false" ht="52.2" hidden="false" customHeight="false" outlineLevel="0" collapsed="false">
      <c r="A102" s="11" t="s">
        <v>191</v>
      </c>
      <c r="B102" s="11" t="s">
        <v>192</v>
      </c>
      <c r="C102" s="12" t="n">
        <v>1</v>
      </c>
      <c r="D102" s="12" t="n">
        <v>11500</v>
      </c>
      <c r="E102" s="14" t="s">
        <v>21</v>
      </c>
      <c r="F102" s="15" t="n">
        <f aca="false">IF(E102="USD",C102*D102*$B$4,C102*D102)</f>
        <v>11500</v>
      </c>
    </row>
    <row r="103" customFormat="false" ht="39.55" hidden="false" customHeight="false" outlineLevel="0" collapsed="false">
      <c r="A103" s="11" t="s">
        <v>193</v>
      </c>
      <c r="B103" s="11" t="s">
        <v>194</v>
      </c>
      <c r="C103" s="12" t="n">
        <v>1</v>
      </c>
      <c r="D103" s="12" t="n">
        <v>4800</v>
      </c>
      <c r="E103" s="14" t="s">
        <v>21</v>
      </c>
      <c r="F103" s="15" t="n">
        <f aca="false">IF(E103="USD",C103*D103*$B$4,C103*D103)</f>
        <v>4800</v>
      </c>
    </row>
    <row r="104" customFormat="false" ht="26.85" hidden="false" customHeight="false" outlineLevel="0" collapsed="false">
      <c r="A104" s="11" t="s">
        <v>195</v>
      </c>
      <c r="B104" s="11" t="s">
        <v>196</v>
      </c>
      <c r="C104" s="12" t="n">
        <v>1</v>
      </c>
      <c r="D104" s="12" t="n">
        <v>2300</v>
      </c>
      <c r="E104" s="14" t="s">
        <v>21</v>
      </c>
      <c r="F104" s="15" t="n">
        <f aca="false">IF(E104="USD",C104*D104*$B$4,C104*D104)</f>
        <v>2300</v>
      </c>
    </row>
    <row r="105" customFormat="false" ht="64.9" hidden="false" customHeight="false" outlineLevel="0" collapsed="false">
      <c r="A105" s="11" t="s">
        <v>197</v>
      </c>
      <c r="B105" s="11" t="s">
        <v>198</v>
      </c>
      <c r="C105" s="12" t="n">
        <v>6</v>
      </c>
      <c r="D105" s="12" t="n">
        <v>5000</v>
      </c>
      <c r="E105" s="14" t="s">
        <v>21</v>
      </c>
      <c r="F105" s="15" t="n">
        <f aca="false">IF(E105="USD",C105*D105*$B$4,C105*D105)</f>
        <v>30000</v>
      </c>
    </row>
    <row r="106" customFormat="false" ht="15" hidden="false" customHeight="false" outlineLevel="0" collapsed="false">
      <c r="A106" s="16" t="s">
        <v>199</v>
      </c>
      <c r="B106" s="16"/>
      <c r="C106" s="16"/>
      <c r="D106" s="16"/>
      <c r="E106" s="16"/>
      <c r="F106" s="17" t="n">
        <f aca="false">SUM(F20:F105)</f>
        <v>750798</v>
      </c>
    </row>
    <row r="107" customFormat="false" ht="63.75" hidden="false" customHeight="true" outlineLevel="0" collapsed="false">
      <c r="A107" s="18" t="s">
        <v>200</v>
      </c>
      <c r="B107" s="18"/>
      <c r="C107" s="18"/>
      <c r="D107" s="18"/>
      <c r="E107" s="18"/>
      <c r="F107" s="18"/>
      <c r="G107" s="18"/>
      <c r="H107" s="18"/>
      <c r="I107" s="18"/>
      <c r="J107" s="18"/>
      <c r="K107" s="18"/>
      <c r="L107" s="18"/>
      <c r="M107" s="18"/>
      <c r="N107" s="18"/>
      <c r="O107" s="18"/>
      <c r="P107" s="18"/>
      <c r="Q107" s="18"/>
      <c r="R107" s="18"/>
      <c r="S107" s="18"/>
      <c r="T107" s="18"/>
      <c r="U107" s="18"/>
      <c r="V107" s="18"/>
      <c r="W107" s="18"/>
      <c r="X107" s="18"/>
    </row>
    <row r="108" customFormat="false" ht="27" hidden="false" customHeight="true" outlineLevel="0" collapsed="false">
      <c r="A108" s="18" t="s">
        <v>201</v>
      </c>
      <c r="B108" s="18"/>
      <c r="C108" s="18"/>
      <c r="D108" s="18"/>
      <c r="E108" s="18"/>
      <c r="F108" s="18"/>
      <c r="G108" s="18"/>
      <c r="H108" s="18"/>
      <c r="I108" s="18"/>
      <c r="J108" s="18"/>
      <c r="K108" s="18"/>
      <c r="L108" s="18"/>
      <c r="M108" s="18"/>
      <c r="N108" s="18"/>
      <c r="O108" s="18"/>
      <c r="P108" s="18"/>
      <c r="Q108" s="18"/>
      <c r="R108" s="18"/>
      <c r="S108" s="18"/>
      <c r="T108" s="18"/>
      <c r="U108" s="18"/>
      <c r="V108" s="18"/>
      <c r="W108" s="18"/>
      <c r="X108" s="18"/>
    </row>
    <row r="109" customFormat="false" ht="15" hidden="false" customHeight="false" outlineLevel="0" collapsed="false">
      <c r="A109" s="3"/>
      <c r="B109" s="3"/>
      <c r="C109" s="3"/>
      <c r="D109" s="3"/>
      <c r="E109" s="3"/>
      <c r="F109" s="20"/>
    </row>
    <row r="110" customFormat="false" ht="15" hidden="false" customHeight="false" outlineLevel="0" collapsed="false">
      <c r="A110" s="21" t="s">
        <v>202</v>
      </c>
      <c r="B110" s="21"/>
      <c r="C110" s="21"/>
      <c r="D110" s="21"/>
      <c r="E110" s="21"/>
      <c r="F110" s="21"/>
    </row>
    <row r="111" customFormat="false" ht="15" hidden="false" customHeight="false" outlineLevel="0" collapsed="false">
      <c r="A111" s="10" t="s">
        <v>13</v>
      </c>
      <c r="B111" s="10" t="s">
        <v>14</v>
      </c>
      <c r="C111" s="10" t="s">
        <v>15</v>
      </c>
      <c r="D111" s="10" t="s">
        <v>16</v>
      </c>
      <c r="E111" s="10" t="s">
        <v>17</v>
      </c>
      <c r="F111" s="10" t="s">
        <v>18</v>
      </c>
    </row>
    <row r="112" customFormat="false" ht="39.55" hidden="false" customHeight="false" outlineLevel="0" collapsed="false">
      <c r="A112" s="11" t="s">
        <v>203</v>
      </c>
      <c r="B112" s="11" t="s">
        <v>204</v>
      </c>
      <c r="C112" s="12" t="n">
        <v>1</v>
      </c>
      <c r="D112" s="12" t="n">
        <v>1200</v>
      </c>
      <c r="E112" s="14" t="s">
        <v>205</v>
      </c>
      <c r="F112" s="15" t="n">
        <f aca="false">IF(E112="USD",C112*D112*$B$4,C112*D112)</f>
        <v>75300</v>
      </c>
    </row>
    <row r="113" customFormat="false" ht="52.2" hidden="false" customHeight="false" outlineLevel="0" collapsed="false">
      <c r="A113" s="11" t="s">
        <v>206</v>
      </c>
      <c r="B113" s="11" t="s">
        <v>207</v>
      </c>
      <c r="C113" s="12" t="n">
        <v>3</v>
      </c>
      <c r="D113" s="12" t="n">
        <v>200</v>
      </c>
      <c r="E113" s="14" t="s">
        <v>205</v>
      </c>
      <c r="F113" s="15" t="n">
        <f aca="false">IF(E113="USD",C113*D113*$B$4,C113*D113)</f>
        <v>37650</v>
      </c>
    </row>
    <row r="114" customFormat="false" ht="39.55" hidden="false" customHeight="false" outlineLevel="0" collapsed="false">
      <c r="A114" s="11" t="s">
        <v>208</v>
      </c>
      <c r="B114" s="11" t="s">
        <v>209</v>
      </c>
      <c r="C114" s="29" t="n">
        <v>0.12</v>
      </c>
      <c r="D114" s="13" t="n">
        <f aca="false">F112+F113</f>
        <v>112950</v>
      </c>
      <c r="E114" s="14" t="s">
        <v>21</v>
      </c>
      <c r="F114" s="15" t="n">
        <f aca="false">IF(E114="USD",C114*D114*$B$4,C114*D114)</f>
        <v>13554</v>
      </c>
    </row>
    <row r="115" customFormat="false" ht="15" hidden="false" customHeight="false" outlineLevel="0" collapsed="false">
      <c r="A115" s="16" t="s">
        <v>210</v>
      </c>
      <c r="B115" s="16"/>
      <c r="C115" s="16"/>
      <c r="D115" s="16"/>
      <c r="E115" s="16"/>
      <c r="F115" s="17" t="n">
        <f aca="false">SUM(F112:F114)</f>
        <v>126504</v>
      </c>
    </row>
    <row r="116" customFormat="false" ht="15" hidden="false" customHeight="false" outlineLevel="0" collapsed="false">
      <c r="A116" s="3"/>
      <c r="B116" s="3"/>
      <c r="C116" s="3"/>
      <c r="D116" s="19"/>
      <c r="E116" s="3"/>
      <c r="F116" s="20"/>
    </row>
    <row r="117" customFormat="false" ht="15" hidden="false" customHeight="false" outlineLevel="0" collapsed="false">
      <c r="A117" s="21" t="s">
        <v>211</v>
      </c>
      <c r="B117" s="21"/>
      <c r="C117" s="21"/>
      <c r="D117" s="21"/>
      <c r="E117" s="21"/>
      <c r="F117" s="21"/>
    </row>
    <row r="118" customFormat="false" ht="15" hidden="false" customHeight="false" outlineLevel="0" collapsed="false">
      <c r="A118" s="10" t="s">
        <v>13</v>
      </c>
      <c r="B118" s="10" t="s">
        <v>14</v>
      </c>
      <c r="C118" s="10" t="s">
        <v>15</v>
      </c>
      <c r="D118" s="22" t="s">
        <v>16</v>
      </c>
      <c r="E118" s="10" t="s">
        <v>17</v>
      </c>
      <c r="F118" s="23" t="s">
        <v>18</v>
      </c>
    </row>
    <row r="119" customFormat="false" ht="52.2" hidden="false" customHeight="false" outlineLevel="0" collapsed="false">
      <c r="A119" s="11" t="s">
        <v>212</v>
      </c>
      <c r="B119" s="11" t="s">
        <v>213</v>
      </c>
      <c r="C119" s="12" t="n">
        <v>12</v>
      </c>
      <c r="D119" s="12" t="n">
        <v>25</v>
      </c>
      <c r="E119" s="14" t="s">
        <v>205</v>
      </c>
      <c r="F119" s="15" t="n">
        <f aca="false">IF(E119="USD",C119*D119*$B$4,C119*D119)</f>
        <v>18825</v>
      </c>
    </row>
    <row r="120" customFormat="false" ht="64.9" hidden="false" customHeight="false" outlineLevel="0" collapsed="false">
      <c r="A120" s="11" t="s">
        <v>214</v>
      </c>
      <c r="B120" s="11" t="s">
        <v>215</v>
      </c>
      <c r="C120" s="12" t="n">
        <v>12</v>
      </c>
      <c r="D120" s="12" t="n">
        <v>19</v>
      </c>
      <c r="E120" s="14" t="s">
        <v>205</v>
      </c>
      <c r="F120" s="15" t="n">
        <f aca="false">IF(E120="USD",C120*D120*$B$4,C120*D120)</f>
        <v>14307</v>
      </c>
    </row>
    <row r="121" customFormat="false" ht="15" hidden="false" customHeight="false" outlineLevel="0" collapsed="false">
      <c r="A121" s="11" t="s">
        <v>216</v>
      </c>
      <c r="B121" s="11" t="s">
        <v>217</v>
      </c>
      <c r="C121" s="12" t="n">
        <v>12</v>
      </c>
      <c r="D121" s="12" t="n">
        <v>6</v>
      </c>
      <c r="E121" s="14" t="s">
        <v>205</v>
      </c>
      <c r="F121" s="15" t="n">
        <f aca="false">IF(E121="USD",C121*D121*$B$4,C121*D121)</f>
        <v>4518</v>
      </c>
    </row>
    <row r="122" customFormat="false" ht="26.85" hidden="false" customHeight="false" outlineLevel="0" collapsed="false">
      <c r="A122" s="11" t="s">
        <v>218</v>
      </c>
      <c r="B122" s="11" t="s">
        <v>219</v>
      </c>
      <c r="C122" s="12" t="n">
        <v>12</v>
      </c>
      <c r="D122" s="12" t="n">
        <v>5</v>
      </c>
      <c r="E122" s="14" t="s">
        <v>205</v>
      </c>
      <c r="F122" s="15" t="n">
        <f aca="false">IF(E122="USD",C122*D122*$B$4,C122*D122)</f>
        <v>3765</v>
      </c>
    </row>
    <row r="123" customFormat="false" ht="39.55" hidden="false" customHeight="false" outlineLevel="0" collapsed="false">
      <c r="A123" s="11" t="s">
        <v>220</v>
      </c>
      <c r="B123" s="11" t="s">
        <v>221</v>
      </c>
      <c r="C123" s="12" t="n">
        <v>12</v>
      </c>
      <c r="D123" s="12" t="n">
        <v>13</v>
      </c>
      <c r="E123" s="14" t="s">
        <v>205</v>
      </c>
      <c r="F123" s="15" t="n">
        <f aca="false">IF(E123="USD",C123*D123*$B$4,C123*D123)</f>
        <v>9789</v>
      </c>
    </row>
    <row r="124" customFormat="false" ht="15" hidden="false" customHeight="false" outlineLevel="0" collapsed="false">
      <c r="A124" s="11" t="s">
        <v>222</v>
      </c>
      <c r="B124" s="11" t="s">
        <v>223</v>
      </c>
      <c r="C124" s="12" t="n">
        <v>1</v>
      </c>
      <c r="D124" s="12" t="n">
        <v>15</v>
      </c>
      <c r="E124" s="14" t="s">
        <v>205</v>
      </c>
      <c r="F124" s="15" t="n">
        <f aca="false">IF(E124="USD",C124*D124*$B$4,C124*D124)</f>
        <v>941.25</v>
      </c>
    </row>
    <row r="125" customFormat="false" ht="26.85" hidden="false" customHeight="false" outlineLevel="0" collapsed="false">
      <c r="A125" s="11" t="s">
        <v>224</v>
      </c>
      <c r="B125" s="11" t="s">
        <v>225</v>
      </c>
      <c r="C125" s="12" t="n">
        <v>1</v>
      </c>
      <c r="D125" s="12" t="n">
        <v>25</v>
      </c>
      <c r="E125" s="14" t="s">
        <v>205</v>
      </c>
      <c r="F125" s="15" t="n">
        <f aca="false">IF(E125="USD",C125*D125*$B$4,C125*D125)</f>
        <v>1568.75</v>
      </c>
    </row>
    <row r="126" customFormat="false" ht="26.85" hidden="false" customHeight="false" outlineLevel="0" collapsed="false">
      <c r="A126" s="11" t="s">
        <v>208</v>
      </c>
      <c r="B126" s="11" t="s">
        <v>226</v>
      </c>
      <c r="C126" s="29" t="n">
        <v>0.12</v>
      </c>
      <c r="D126" s="13" t="n">
        <f aca="false">SUM(F119:F125)</f>
        <v>53714</v>
      </c>
      <c r="E126" s="14" t="s">
        <v>21</v>
      </c>
      <c r="F126" s="15" t="n">
        <f aca="false">IF(E126="USD",C126*D126*$B$4,C126*D126)</f>
        <v>6445.68</v>
      </c>
    </row>
    <row r="127" customFormat="false" ht="39.55" hidden="false" customHeight="false" outlineLevel="0" collapsed="false">
      <c r="A127" s="11" t="s">
        <v>227</v>
      </c>
      <c r="B127" s="11" t="s">
        <v>228</v>
      </c>
      <c r="C127" s="29" t="n">
        <v>0.05</v>
      </c>
      <c r="D127" s="13" t="n">
        <f aca="false">SUMIF(E112:E113,"USD",F112:F113)+SUMIF(E119:E125,"USD",F119:F125)</f>
        <v>166664</v>
      </c>
      <c r="E127" s="14" t="s">
        <v>21</v>
      </c>
      <c r="F127" s="15" t="n">
        <f aca="false">IF(E127="USD",C127*D127*$B$4,C127*D127)</f>
        <v>8333.2</v>
      </c>
    </row>
    <row r="128" customFormat="false" ht="15" hidden="false" customHeight="false" outlineLevel="0" collapsed="false">
      <c r="A128" s="16" t="s">
        <v>229</v>
      </c>
      <c r="B128" s="16"/>
      <c r="C128" s="16"/>
      <c r="D128" s="16"/>
      <c r="E128" s="16"/>
      <c r="F128" s="17" t="n">
        <f aca="false">SUM(F119:F127)</f>
        <v>68492.88</v>
      </c>
    </row>
    <row r="129" customFormat="false" ht="39" hidden="false" customHeight="true" outlineLevel="0" collapsed="false">
      <c r="A129" s="18" t="s">
        <v>230</v>
      </c>
      <c r="B129" s="18"/>
      <c r="C129" s="18"/>
      <c r="D129" s="18"/>
      <c r="E129" s="18"/>
      <c r="F129" s="18"/>
    </row>
    <row r="130" customFormat="false" ht="15" hidden="false" customHeight="false" outlineLevel="0" collapsed="false">
      <c r="A130" s="3"/>
      <c r="B130" s="3"/>
      <c r="C130" s="3"/>
      <c r="D130" s="19"/>
      <c r="E130" s="3"/>
      <c r="F130" s="20"/>
    </row>
    <row r="131" customFormat="false" ht="15" hidden="false" customHeight="false" outlineLevel="0" collapsed="false">
      <c r="A131" s="21" t="s">
        <v>231</v>
      </c>
      <c r="B131" s="21"/>
      <c r="C131" s="21"/>
      <c r="D131" s="21"/>
      <c r="E131" s="21"/>
      <c r="F131" s="21"/>
    </row>
    <row r="132" customFormat="false" ht="15" hidden="false" customHeight="false" outlineLevel="0" collapsed="false">
      <c r="A132" s="10" t="s">
        <v>13</v>
      </c>
      <c r="B132" s="10" t="s">
        <v>14</v>
      </c>
      <c r="C132" s="10" t="s">
        <v>15</v>
      </c>
      <c r="D132" s="22" t="s">
        <v>16</v>
      </c>
      <c r="E132" s="10" t="s">
        <v>17</v>
      </c>
      <c r="F132" s="23" t="s">
        <v>18</v>
      </c>
    </row>
    <row r="133" customFormat="false" ht="77.6" hidden="false" customHeight="false" outlineLevel="0" collapsed="false">
      <c r="A133" s="11" t="s">
        <v>232</v>
      </c>
      <c r="B133" s="11" t="s">
        <v>233</v>
      </c>
      <c r="C133" s="12" t="n">
        <v>24000</v>
      </c>
      <c r="D133" s="12" t="n">
        <v>0.6272</v>
      </c>
      <c r="E133" s="14" t="s">
        <v>21</v>
      </c>
      <c r="F133" s="15" t="n">
        <f aca="false">IF(E133="USD",C133*D133*$B$4,C133*D133)</f>
        <v>15052.8</v>
      </c>
    </row>
    <row r="134" customFormat="false" ht="52.2" hidden="false" customHeight="false" outlineLevel="0" collapsed="false">
      <c r="A134" s="11" t="s">
        <v>234</v>
      </c>
      <c r="B134" s="11" t="s">
        <v>235</v>
      </c>
      <c r="C134" s="13" t="n">
        <f aca="false">$B$8</f>
        <v>2</v>
      </c>
      <c r="D134" s="12" t="n">
        <v>12000</v>
      </c>
      <c r="E134" s="14" t="s">
        <v>21</v>
      </c>
      <c r="F134" s="15" t="n">
        <f aca="false">IF(E134="USD",C134*D134*$B$4,C134*D134)</f>
        <v>24000</v>
      </c>
    </row>
    <row r="135" customFormat="false" ht="64.9" hidden="false" customHeight="false" outlineLevel="0" collapsed="false">
      <c r="A135" s="11" t="s">
        <v>236</v>
      </c>
      <c r="B135" s="11" t="s">
        <v>237</v>
      </c>
      <c r="C135" s="12" t="n">
        <v>2</v>
      </c>
      <c r="D135" s="12" t="n">
        <v>2000</v>
      </c>
      <c r="E135" s="14" t="s">
        <v>21</v>
      </c>
      <c r="F135" s="15" t="n">
        <f aca="false">IF(E135="USD",C135*D135*$B$4,C135*D135)</f>
        <v>4000</v>
      </c>
    </row>
    <row r="136" customFormat="false" ht="52.2" hidden="false" customHeight="false" outlineLevel="0" collapsed="false">
      <c r="A136" s="11" t="s">
        <v>238</v>
      </c>
      <c r="B136" s="11" t="s">
        <v>239</v>
      </c>
      <c r="C136" s="12" t="n">
        <v>1</v>
      </c>
      <c r="D136" s="12" t="n">
        <v>2386</v>
      </c>
      <c r="E136" s="14" t="s">
        <v>21</v>
      </c>
      <c r="F136" s="15" t="n">
        <f aca="false">IF(E136="USD",C136*D136*$B$4,C136*D136)</f>
        <v>2386</v>
      </c>
    </row>
    <row r="137" customFormat="false" ht="39.55" hidden="false" customHeight="false" outlineLevel="0" collapsed="false">
      <c r="A137" s="11" t="s">
        <v>240</v>
      </c>
      <c r="B137" s="11" t="s">
        <v>241</v>
      </c>
      <c r="C137" s="12" t="n">
        <v>7</v>
      </c>
      <c r="D137" s="12" t="n">
        <v>449</v>
      </c>
      <c r="E137" s="14" t="s">
        <v>21</v>
      </c>
      <c r="F137" s="15" t="n">
        <f aca="false">IF(E137="USD",C137*D137*$B$4,C137*D137)</f>
        <v>3143</v>
      </c>
    </row>
    <row r="138" customFormat="false" ht="15" hidden="false" customHeight="false" outlineLevel="0" collapsed="false">
      <c r="A138" s="16" t="s">
        <v>242</v>
      </c>
      <c r="B138" s="16"/>
      <c r="C138" s="16"/>
      <c r="D138" s="16"/>
      <c r="E138" s="16"/>
      <c r="F138" s="17" t="n">
        <f aca="false">SUM(F133:F137)</f>
        <v>48581.8</v>
      </c>
    </row>
    <row r="139" customFormat="false" ht="15" hidden="false" customHeight="false" outlineLevel="0" collapsed="false">
      <c r="A139" s="3"/>
      <c r="B139" s="3"/>
      <c r="C139" s="3"/>
      <c r="D139" s="3"/>
      <c r="E139" s="3"/>
      <c r="F139" s="3"/>
    </row>
    <row r="140" customFormat="false" ht="15" hidden="false" customHeight="false" outlineLevel="0" collapsed="false">
      <c r="A140" s="21" t="s">
        <v>243</v>
      </c>
      <c r="B140" s="21"/>
      <c r="C140" s="21"/>
      <c r="D140" s="21"/>
      <c r="E140" s="21"/>
      <c r="F140" s="21"/>
    </row>
    <row r="141" customFormat="false" ht="15" hidden="false" customHeight="false" outlineLevel="0" collapsed="false">
      <c r="A141" s="10" t="s">
        <v>13</v>
      </c>
      <c r="B141" s="10" t="s">
        <v>14</v>
      </c>
      <c r="C141" s="10" t="s">
        <v>15</v>
      </c>
      <c r="D141" s="22" t="s">
        <v>16</v>
      </c>
      <c r="E141" s="10" t="s">
        <v>17</v>
      </c>
      <c r="F141" s="23" t="s">
        <v>18</v>
      </c>
    </row>
    <row r="142" customFormat="false" ht="153.7" hidden="false" customHeight="false" outlineLevel="0" collapsed="false">
      <c r="A142" s="11" t="s">
        <v>244</v>
      </c>
      <c r="B142" s="11" t="s">
        <v>245</v>
      </c>
      <c r="C142" s="12" t="n">
        <v>48</v>
      </c>
      <c r="D142" s="12" t="n">
        <v>1250</v>
      </c>
      <c r="E142" s="14" t="s">
        <v>21</v>
      </c>
      <c r="F142" s="15" t="n">
        <f aca="false">IF(E142="USD",C142*D142*$B$4,C142*D142)</f>
        <v>60000</v>
      </c>
    </row>
    <row r="143" customFormat="false" ht="77.6" hidden="false" customHeight="false" outlineLevel="0" collapsed="false">
      <c r="A143" s="11" t="s">
        <v>246</v>
      </c>
      <c r="B143" s="11" t="s">
        <v>247</v>
      </c>
      <c r="C143" s="12" t="n">
        <v>16</v>
      </c>
      <c r="D143" s="12" t="n">
        <v>2500</v>
      </c>
      <c r="E143" s="14" t="s">
        <v>21</v>
      </c>
      <c r="F143" s="15" t="n">
        <f aca="false">IF(E143="USD",C143*D143*$B$4,C143*D143)</f>
        <v>40000</v>
      </c>
    </row>
    <row r="144" customFormat="false" ht="52.2" hidden="false" customHeight="false" outlineLevel="0" collapsed="false">
      <c r="A144" s="11" t="s">
        <v>248</v>
      </c>
      <c r="B144" s="11" t="s">
        <v>249</v>
      </c>
      <c r="C144" s="12" t="n">
        <v>1</v>
      </c>
      <c r="D144" s="12" t="n">
        <v>30000</v>
      </c>
      <c r="E144" s="14" t="s">
        <v>21</v>
      </c>
      <c r="F144" s="15" t="n">
        <f aca="false">IF(E144="USD",C144*D144*$B$4,C144*D144)</f>
        <v>30000</v>
      </c>
    </row>
    <row r="145" customFormat="false" ht="15" hidden="false" customHeight="false" outlineLevel="0" collapsed="false">
      <c r="A145" s="16" t="s">
        <v>250</v>
      </c>
      <c r="B145" s="16"/>
      <c r="C145" s="16"/>
      <c r="D145" s="16"/>
      <c r="E145" s="16"/>
      <c r="F145" s="17" t="n">
        <f aca="false">SUM(F142:F144)</f>
        <v>130000</v>
      </c>
    </row>
    <row r="146" customFormat="false" ht="27" hidden="false" customHeight="true" outlineLevel="0" collapsed="false">
      <c r="A146" s="18" t="s">
        <v>251</v>
      </c>
      <c r="B146" s="18"/>
      <c r="C146" s="18"/>
      <c r="D146" s="18"/>
      <c r="E146" s="18"/>
      <c r="F146" s="18"/>
    </row>
    <row r="147" customFormat="false" ht="15" hidden="false" customHeight="false" outlineLevel="0" collapsed="false">
      <c r="A147" s="3"/>
      <c r="B147" s="3"/>
      <c r="C147" s="3"/>
      <c r="D147" s="19"/>
      <c r="E147" s="3"/>
      <c r="F147" s="20"/>
    </row>
    <row r="148" customFormat="false" ht="15" hidden="false" customHeight="false" outlineLevel="0" collapsed="false">
      <c r="A148" s="21" t="s">
        <v>252</v>
      </c>
      <c r="B148" s="21"/>
      <c r="C148" s="21"/>
      <c r="D148" s="21"/>
      <c r="E148" s="21"/>
      <c r="F148" s="21"/>
    </row>
    <row r="149" customFormat="false" ht="15" hidden="false" customHeight="false" outlineLevel="0" collapsed="false">
      <c r="A149" s="10" t="s">
        <v>13</v>
      </c>
      <c r="B149" s="10" t="s">
        <v>14</v>
      </c>
      <c r="C149" s="10" t="s">
        <v>15</v>
      </c>
      <c r="D149" s="10" t="s">
        <v>16</v>
      </c>
      <c r="E149" s="10" t="s">
        <v>17</v>
      </c>
      <c r="F149" s="10" t="s">
        <v>18</v>
      </c>
    </row>
    <row r="150" customFormat="false" ht="39.55" hidden="false" customHeight="false" outlineLevel="0" collapsed="false">
      <c r="A150" s="11" t="s">
        <v>253</v>
      </c>
      <c r="B150" s="11" t="s">
        <v>254</v>
      </c>
      <c r="C150" s="12" t="n">
        <v>1</v>
      </c>
      <c r="D150" s="12" t="n">
        <v>8000</v>
      </c>
      <c r="E150" s="14" t="s">
        <v>21</v>
      </c>
      <c r="F150" s="15" t="n">
        <f aca="false">IF(E150="USD",C150*D150*$B$4,C150*D150)</f>
        <v>8000</v>
      </c>
    </row>
    <row r="151" customFormat="false" ht="39.55" hidden="false" customHeight="false" outlineLevel="0" collapsed="false">
      <c r="A151" s="11" t="s">
        <v>255</v>
      </c>
      <c r="B151" s="11" t="s">
        <v>256</v>
      </c>
      <c r="C151" s="12" t="n">
        <v>1</v>
      </c>
      <c r="D151" s="12" t="n">
        <v>15000</v>
      </c>
      <c r="E151" s="14" t="s">
        <v>21</v>
      </c>
      <c r="F151" s="15" t="n">
        <f aca="false">IF(E151="USD",C151*D151*$B$4,C151*D151)</f>
        <v>15000</v>
      </c>
    </row>
    <row r="152" customFormat="false" ht="102.95" hidden="false" customHeight="false" outlineLevel="0" collapsed="false">
      <c r="A152" s="11" t="s">
        <v>257</v>
      </c>
      <c r="B152" s="11" t="s">
        <v>258</v>
      </c>
      <c r="C152" s="12" t="n">
        <v>2</v>
      </c>
      <c r="D152" s="12" t="n">
        <v>35000</v>
      </c>
      <c r="E152" s="14" t="s">
        <v>21</v>
      </c>
      <c r="F152" s="15" t="n">
        <f aca="false">IF(E152="USD",C152*D152*$B$4,C152*D152)</f>
        <v>70000</v>
      </c>
    </row>
    <row r="153" customFormat="false" ht="15" hidden="false" customHeight="false" outlineLevel="0" collapsed="false">
      <c r="A153" s="16" t="s">
        <v>259</v>
      </c>
      <c r="B153" s="16"/>
      <c r="C153" s="16"/>
      <c r="D153" s="16"/>
      <c r="E153" s="16"/>
      <c r="F153" s="17" t="n">
        <f aca="false">SUM(F150:F152)</f>
        <v>93000</v>
      </c>
    </row>
    <row r="154" customFormat="false" ht="15" hidden="false" customHeight="false" outlineLevel="0" collapsed="false"/>
    <row r="155" customFormat="false" ht="15" hidden="false" customHeight="false" outlineLevel="0" collapsed="false">
      <c r="A155" s="21" t="s">
        <v>260</v>
      </c>
      <c r="B155" s="21"/>
      <c r="C155" s="21"/>
      <c r="D155" s="21"/>
      <c r="E155" s="21"/>
      <c r="F155" s="21"/>
    </row>
    <row r="156" customFormat="false" ht="15" hidden="false" customHeight="false" outlineLevel="0" collapsed="false">
      <c r="A156" s="10" t="s">
        <v>13</v>
      </c>
      <c r="B156" s="10" t="s">
        <v>14</v>
      </c>
      <c r="C156" s="10" t="s">
        <v>15</v>
      </c>
      <c r="D156" s="10" t="s">
        <v>16</v>
      </c>
      <c r="E156" s="10" t="s">
        <v>17</v>
      </c>
      <c r="F156" s="10" t="s">
        <v>18</v>
      </c>
    </row>
    <row r="157" customFormat="false" ht="15" hidden="false" customHeight="false" outlineLevel="0" collapsed="false">
      <c r="A157" s="11" t="s">
        <v>261</v>
      </c>
      <c r="B157" s="11" t="s">
        <v>262</v>
      </c>
      <c r="C157" s="12" t="n">
        <v>6</v>
      </c>
      <c r="D157" s="12" t="n">
        <v>1200</v>
      </c>
      <c r="E157" s="14" t="s">
        <v>21</v>
      </c>
      <c r="F157" s="15" t="n">
        <f aca="false">IF(E157="USD",C157*D157*$B$4,C157*D157)</f>
        <v>7200</v>
      </c>
    </row>
    <row r="158" customFormat="false" ht="15" hidden="false" customHeight="false" outlineLevel="0" collapsed="false">
      <c r="A158" s="11" t="s">
        <v>263</v>
      </c>
      <c r="B158" s="11" t="s">
        <v>264</v>
      </c>
      <c r="C158" s="12" t="n">
        <v>1</v>
      </c>
      <c r="D158" s="12" t="n">
        <v>1500</v>
      </c>
      <c r="E158" s="14" t="s">
        <v>21</v>
      </c>
      <c r="F158" s="15" t="n">
        <f aca="false">IF(E158="USD",C158*D158*$B$4,C158*D158)</f>
        <v>1500</v>
      </c>
    </row>
    <row r="159" customFormat="false" ht="64.9" hidden="false" customHeight="false" outlineLevel="0" collapsed="false">
      <c r="A159" s="11" t="s">
        <v>265</v>
      </c>
      <c r="B159" s="11" t="s">
        <v>266</v>
      </c>
      <c r="C159" s="12" t="n">
        <v>7</v>
      </c>
      <c r="D159" s="12" t="n">
        <v>1000</v>
      </c>
      <c r="E159" s="14" t="s">
        <v>21</v>
      </c>
      <c r="F159" s="15" t="n">
        <f aca="false">IF(E159="USD",C159*D159*$B$4,C159*D159)</f>
        <v>7000</v>
      </c>
    </row>
    <row r="160" customFormat="false" ht="64.9" hidden="false" customHeight="false" outlineLevel="0" collapsed="false">
      <c r="A160" s="11" t="s">
        <v>267</v>
      </c>
      <c r="B160" s="11" t="s">
        <v>268</v>
      </c>
      <c r="C160" s="12" t="n">
        <v>1</v>
      </c>
      <c r="D160" s="12" t="n">
        <v>29500</v>
      </c>
      <c r="E160" s="14" t="s">
        <v>21</v>
      </c>
      <c r="F160" s="15" t="n">
        <f aca="false">IF(E160="USD",C160*D160*$B$4,C160*D160)</f>
        <v>29500</v>
      </c>
    </row>
    <row r="161" customFormat="false" ht="52.2" hidden="false" customHeight="false" outlineLevel="0" collapsed="false">
      <c r="A161" s="11" t="s">
        <v>269</v>
      </c>
      <c r="B161" s="11" t="s">
        <v>270</v>
      </c>
      <c r="C161" s="12" t="n">
        <v>1</v>
      </c>
      <c r="D161" s="12" t="n">
        <v>12850</v>
      </c>
      <c r="E161" s="14" t="s">
        <v>21</v>
      </c>
      <c r="F161" s="15" t="n">
        <f aca="false">IF(E161="USD",C161*D161*$B$4,C161*D161)</f>
        <v>12850</v>
      </c>
    </row>
    <row r="162" customFormat="false" ht="15" hidden="false" customHeight="false" outlineLevel="0" collapsed="false">
      <c r="A162" s="16" t="s">
        <v>271</v>
      </c>
      <c r="B162" s="16"/>
      <c r="C162" s="16"/>
      <c r="D162" s="16"/>
      <c r="E162" s="16"/>
      <c r="F162" s="17" t="n">
        <f aca="false">SUM(F157:F161)</f>
        <v>58050</v>
      </c>
    </row>
    <row r="163" customFormat="false" ht="27" hidden="false" customHeight="true" outlineLevel="0" collapsed="false">
      <c r="A163" s="18" t="s">
        <v>272</v>
      </c>
      <c r="B163" s="18"/>
      <c r="C163" s="18"/>
      <c r="D163" s="18"/>
      <c r="E163" s="18"/>
      <c r="F163" s="18"/>
    </row>
    <row r="164" customFormat="false" ht="15" hidden="false" customHeight="false" outlineLevel="0" collapsed="false"/>
    <row r="165" customFormat="false" ht="15" hidden="false" customHeight="false" outlineLevel="0" collapsed="false">
      <c r="A165" s="9" t="s">
        <v>273</v>
      </c>
      <c r="B165" s="9"/>
      <c r="C165" s="9"/>
      <c r="D165" s="9"/>
      <c r="E165" s="9"/>
      <c r="F165" s="9"/>
    </row>
    <row r="166" customFormat="false" ht="15" hidden="false" customHeight="false" outlineLevel="0" collapsed="false">
      <c r="A166" s="10" t="s">
        <v>13</v>
      </c>
      <c r="B166" s="10" t="s">
        <v>14</v>
      </c>
      <c r="C166" s="10" t="s">
        <v>15</v>
      </c>
      <c r="D166" s="10" t="s">
        <v>16</v>
      </c>
      <c r="E166" s="10" t="s">
        <v>17</v>
      </c>
      <c r="F166" s="23" t="s">
        <v>18</v>
      </c>
    </row>
    <row r="167" customFormat="false" ht="115.65" hidden="false" customHeight="false" outlineLevel="0" collapsed="false">
      <c r="A167" s="11" t="s">
        <v>274</v>
      </c>
      <c r="B167" s="11" t="s">
        <v>275</v>
      </c>
      <c r="C167" s="12" t="n">
        <v>2</v>
      </c>
      <c r="D167" s="12" t="n">
        <v>54995</v>
      </c>
      <c r="E167" s="14" t="s">
        <v>21</v>
      </c>
      <c r="F167" s="15" t="n">
        <f aca="false">IF(E167="USD",C167*D167*$B$4,C167*D167)</f>
        <v>109990</v>
      </c>
    </row>
    <row r="168" customFormat="false" ht="15" hidden="false" customHeight="false" outlineLevel="0" collapsed="false">
      <c r="A168" s="16" t="s">
        <v>276</v>
      </c>
      <c r="B168" s="16"/>
      <c r="C168" s="16"/>
      <c r="D168" s="16"/>
      <c r="E168" s="16"/>
      <c r="F168" s="17" t="n">
        <f aca="false">SUM(F167)</f>
        <v>109990</v>
      </c>
    </row>
    <row r="169" customFormat="false" ht="27" hidden="false" customHeight="true" outlineLevel="0" collapsed="false">
      <c r="A169" s="18" t="s">
        <v>277</v>
      </c>
      <c r="B169" s="18"/>
      <c r="C169" s="18"/>
      <c r="D169" s="18"/>
      <c r="E169" s="18"/>
      <c r="F169" s="18"/>
    </row>
    <row r="170" customFormat="false" ht="15" hidden="false" customHeight="false" outlineLevel="0" collapsed="false">
      <c r="A170" s="3"/>
      <c r="B170" s="3"/>
      <c r="C170" s="3"/>
      <c r="D170" s="3"/>
      <c r="E170" s="3"/>
      <c r="F170" s="3"/>
    </row>
    <row r="171" customFormat="false" ht="15" hidden="false" customHeight="false" outlineLevel="0" collapsed="false">
      <c r="A171" s="9" t="s">
        <v>278</v>
      </c>
      <c r="B171" s="9"/>
      <c r="C171" s="9"/>
      <c r="D171" s="9"/>
      <c r="E171" s="9"/>
      <c r="F171" s="9"/>
    </row>
    <row r="172" customFormat="false" ht="15" hidden="false" customHeight="false" outlineLevel="0" collapsed="false">
      <c r="A172" s="10" t="s">
        <v>13</v>
      </c>
      <c r="B172" s="10" t="s">
        <v>14</v>
      </c>
      <c r="C172" s="10" t="s">
        <v>15</v>
      </c>
      <c r="D172" s="22" t="s">
        <v>16</v>
      </c>
      <c r="E172" s="10" t="s">
        <v>17</v>
      </c>
      <c r="F172" s="23" t="s">
        <v>18</v>
      </c>
    </row>
    <row r="173" customFormat="false" ht="26.85" hidden="false" customHeight="false" outlineLevel="0" collapsed="false">
      <c r="A173" s="30" t="s">
        <v>279</v>
      </c>
      <c r="B173" s="31" t="s">
        <v>280</v>
      </c>
      <c r="C173" s="32"/>
      <c r="D173" s="32"/>
      <c r="E173" s="32"/>
      <c r="F173" s="15" t="n">
        <f aca="false">F14</f>
        <v>238893.2</v>
      </c>
    </row>
    <row r="174" customFormat="false" ht="39.55" hidden="false" customHeight="false" outlineLevel="0" collapsed="false">
      <c r="A174" s="31" t="s">
        <v>281</v>
      </c>
      <c r="B174" s="11" t="s">
        <v>282</v>
      </c>
      <c r="C174" s="32"/>
      <c r="D174" s="32"/>
      <c r="E174" s="32"/>
      <c r="F174" s="15" t="n">
        <f aca="false">F106+F115+F128+F138+F145+F153+F162</f>
        <v>1275426.68</v>
      </c>
    </row>
    <row r="175" customFormat="false" ht="15" hidden="false" customHeight="false" outlineLevel="0" collapsed="false">
      <c r="A175" s="30" t="s">
        <v>283</v>
      </c>
      <c r="B175" s="30" t="s">
        <v>284</v>
      </c>
      <c r="C175" s="32"/>
      <c r="D175" s="32"/>
      <c r="E175" s="32"/>
      <c r="F175" s="15" t="n">
        <f aca="false">F168</f>
        <v>109990</v>
      </c>
    </row>
    <row r="176" customFormat="false" ht="15" hidden="false" customHeight="false" outlineLevel="0" collapsed="false">
      <c r="A176" s="33" t="s">
        <v>285</v>
      </c>
      <c r="B176" s="32"/>
      <c r="C176" s="32"/>
      <c r="D176" s="32"/>
      <c r="E176" s="32"/>
      <c r="F176" s="17" t="n">
        <f aca="false">SUM(F173:F175)</f>
        <v>1624309.88</v>
      </c>
    </row>
    <row r="177" customFormat="false" ht="52.2" hidden="false" customHeight="false" outlineLevel="0" collapsed="false">
      <c r="A177" s="30" t="s">
        <v>286</v>
      </c>
      <c r="B177" s="11" t="s">
        <v>287</v>
      </c>
      <c r="C177" s="34" t="n">
        <v>0.05</v>
      </c>
      <c r="D177" s="32"/>
      <c r="E177" s="32"/>
      <c r="F177" s="15" t="n">
        <f aca="false">F176*C177</f>
        <v>81215.494</v>
      </c>
    </row>
    <row r="178" customFormat="false" ht="15" hidden="false" customHeight="false" outlineLevel="0" collapsed="false">
      <c r="A178" s="35" t="s">
        <v>288</v>
      </c>
      <c r="B178" s="35"/>
      <c r="C178" s="35"/>
      <c r="D178" s="35"/>
      <c r="E178" s="35"/>
      <c r="F178" s="36" t="n">
        <f aca="false">F176+F177</f>
        <v>1705525.374</v>
      </c>
    </row>
    <row r="179" customFormat="false" ht="39" hidden="false" customHeight="true" outlineLevel="0" collapsed="false">
      <c r="A179" s="18" t="s">
        <v>289</v>
      </c>
      <c r="B179" s="18"/>
      <c r="C179" s="18"/>
      <c r="D179" s="18"/>
      <c r="E179" s="18"/>
      <c r="F179" s="18"/>
    </row>
    <row r="180" customFormat="false" ht="15" hidden="false" customHeight="false" outlineLevel="0" collapsed="false">
      <c r="A180" s="3"/>
      <c r="B180" s="3"/>
      <c r="C180" s="3"/>
      <c r="D180" s="3"/>
      <c r="E180" s="3"/>
      <c r="F180" s="3"/>
    </row>
    <row r="181" customFormat="false" ht="15" hidden="false" customHeight="false" outlineLevel="0" collapsed="false">
      <c r="A181" s="21" t="s">
        <v>290</v>
      </c>
      <c r="B181" s="21"/>
      <c r="C181" s="21"/>
      <c r="D181" s="21"/>
      <c r="E181" s="21"/>
      <c r="F181" s="21"/>
    </row>
    <row r="182" customFormat="false" ht="27" hidden="false" customHeight="true" outlineLevel="0" collapsed="false">
      <c r="A182" s="37" t="s">
        <v>291</v>
      </c>
      <c r="B182" s="37"/>
      <c r="C182" s="37"/>
      <c r="D182" s="37"/>
      <c r="E182" s="37"/>
      <c r="F182" s="37"/>
    </row>
    <row r="183" customFormat="false" ht="15" hidden="false" customHeight="true" outlineLevel="0" collapsed="false">
      <c r="A183" s="37" t="s">
        <v>292</v>
      </c>
      <c r="B183" s="37"/>
      <c r="C183" s="37"/>
      <c r="D183" s="37"/>
      <c r="E183" s="37"/>
      <c r="F183" s="37"/>
    </row>
    <row r="184" customFormat="false" ht="15" hidden="false" customHeight="true" outlineLevel="0" collapsed="false">
      <c r="A184" s="37" t="s">
        <v>293</v>
      </c>
      <c r="B184" s="37"/>
      <c r="C184" s="37"/>
      <c r="D184" s="37"/>
      <c r="E184" s="37"/>
      <c r="F184" s="37"/>
    </row>
    <row r="185" customFormat="false" ht="15" hidden="false" customHeight="true" outlineLevel="0" collapsed="false">
      <c r="A185" s="37" t="s">
        <v>294</v>
      </c>
      <c r="B185" s="37"/>
      <c r="C185" s="37"/>
      <c r="D185" s="37"/>
      <c r="E185" s="37"/>
      <c r="F185" s="37"/>
    </row>
    <row r="186" customFormat="false" ht="15" hidden="false" customHeight="true" outlineLevel="0" collapsed="false">
      <c r="A186" s="37" t="s">
        <v>295</v>
      </c>
      <c r="B186" s="37"/>
      <c r="C186" s="37"/>
      <c r="D186" s="37"/>
      <c r="E186" s="37"/>
      <c r="F186" s="37"/>
    </row>
    <row r="187" customFormat="false" ht="15" hidden="false" customHeight="true" outlineLevel="0" collapsed="false">
      <c r="A187" s="37" t="s">
        <v>296</v>
      </c>
      <c r="B187" s="37"/>
      <c r="C187" s="37"/>
      <c r="D187" s="37"/>
      <c r="E187" s="37"/>
      <c r="F187" s="37"/>
    </row>
    <row r="188" customFormat="false" ht="15" hidden="false" customHeight="true" outlineLevel="0" collapsed="false">
      <c r="A188" s="37" t="s">
        <v>297</v>
      </c>
      <c r="B188" s="37"/>
      <c r="C188" s="37"/>
      <c r="D188" s="37"/>
      <c r="E188" s="37"/>
      <c r="F188" s="37"/>
    </row>
    <row r="189" customFormat="false" ht="27" hidden="false" customHeight="true" outlineLevel="0" collapsed="false">
      <c r="A189" s="37" t="s">
        <v>298</v>
      </c>
      <c r="B189" s="37"/>
      <c r="C189" s="37"/>
      <c r="D189" s="37"/>
      <c r="E189" s="37"/>
      <c r="F189" s="37"/>
    </row>
    <row r="190" customFormat="false" ht="15" hidden="false" customHeight="true" outlineLevel="0" collapsed="false">
      <c r="A190" s="37" t="s">
        <v>299</v>
      </c>
      <c r="B190" s="37"/>
      <c r="C190" s="37"/>
      <c r="D190" s="37"/>
      <c r="E190" s="37"/>
      <c r="F190" s="37"/>
    </row>
    <row r="191" customFormat="false" ht="15" hidden="false" customHeight="false" outlineLevel="0" collapsed="false">
      <c r="A191" s="3"/>
      <c r="B191" s="3"/>
      <c r="C191" s="3"/>
      <c r="D191" s="3"/>
      <c r="E191" s="3"/>
      <c r="F191" s="3"/>
    </row>
    <row r="192" customFormat="false" ht="15" hidden="false" customHeight="false" outlineLevel="0" collapsed="false"/>
    <row r="193" customFormat="false" ht="15" hidden="false" customHeight="false" outlineLevel="0" collapsed="false"/>
    <row r="194" customFormat="false" ht="15" hidden="false" customHeight="false" outlineLevel="0" collapsed="false"/>
    <row r="195" customFormat="false" ht="15" hidden="false" customHeight="false" outlineLevel="0" collapsed="false"/>
    <row r="196" customFormat="false" ht="15" hidden="false" customHeight="false" outlineLevel="0" collapsed="false"/>
    <row r="197" customFormat="false" ht="15" hidden="false" customHeight="false" outlineLevel="0" collapsed="false"/>
    <row r="198" customFormat="false" ht="15" hidden="false" customHeight="false" outlineLevel="0" collapsed="false"/>
    <row r="199" customFormat="false" ht="15" hidden="false" customHeight="false" outlineLevel="0" collapsed="false"/>
    <row r="200" customFormat="false" ht="15" hidden="false" customHeight="false" outlineLevel="0" collapsed="false"/>
    <row r="201" customFormat="false" ht="15" hidden="false" customHeight="false" outlineLevel="0" collapsed="false"/>
    <row r="202" customFormat="false" ht="15" hidden="false" customHeight="false" outlineLevel="0" collapsed="false"/>
    <row r="203" customFormat="false" ht="15" hidden="false" customHeight="false" outlineLevel="0" collapsed="false"/>
    <row r="204" customFormat="false" ht="15" hidden="false" customHeight="false" outlineLevel="0" collapsed="false"/>
    <row r="205" customFormat="false" ht="15" hidden="false" customHeight="false" outlineLevel="0" collapsed="false"/>
    <row r="206" customFormat="false" ht="15" hidden="false" customHeight="false" outlineLevel="0" collapsed="false"/>
    <row r="207" customFormat="false" ht="15" hidden="false" customHeight="false" outlineLevel="0" collapsed="false"/>
    <row r="208" customFormat="false" ht="15" hidden="false" customHeight="false" outlineLevel="0" collapsed="false"/>
    <row r="209" customFormat="false" ht="15" hidden="false" customHeight="false" outlineLevel="0" collapsed="false"/>
    <row r="210" customFormat="false" ht="15" hidden="false" customHeight="false" outlineLevel="0" collapsed="false"/>
    <row r="211" customFormat="false" ht="15" hidden="false" customHeight="false" outlineLevel="0" collapsed="false"/>
    <row r="212" customFormat="false" ht="15" hidden="false" customHeight="false" outlineLevel="0" collapsed="false"/>
    <row r="213" customFormat="false" ht="15" hidden="false" customHeight="false" outlineLevel="0" collapsed="false"/>
    <row r="214" customFormat="false" ht="15" hidden="false" customHeight="false" outlineLevel="0" collapsed="false"/>
    <row r="215" customFormat="false" ht="15" hidden="false" customHeight="false" outlineLevel="0" collapsed="false"/>
    <row r="216" customFormat="false" ht="15" hidden="false" customHeight="false" outlineLevel="0" collapsed="false"/>
    <row r="217" customFormat="false" ht="15" hidden="false" customHeight="false" outlineLevel="0" collapsed="false"/>
    <row r="218" customFormat="false" ht="15" hidden="false" customHeight="false" outlineLevel="0" collapsed="false"/>
    <row r="219" customFormat="false" ht="15" hidden="false" customHeight="false" outlineLevel="0" collapsed="false"/>
    <row r="220" customFormat="false" ht="15" hidden="false" customHeight="false" outlineLevel="0" collapsed="false"/>
    <row r="221" customFormat="false" ht="15" hidden="false" customHeight="false" outlineLevel="0" collapsed="false"/>
    <row r="222" customFormat="false" ht="15" hidden="false" customHeight="false" outlineLevel="0" collapsed="false"/>
    <row r="223" customFormat="false" ht="15" hidden="false" customHeight="false" outlineLevel="0" collapsed="false"/>
    <row r="224" customFormat="false" ht="15" hidden="false" customHeight="false" outlineLevel="0" collapsed="false"/>
    <row r="225" customFormat="false" ht="15" hidden="false" customHeight="false" outlineLevel="0" collapsed="false"/>
    <row r="226" customFormat="false" ht="15" hidden="false" customHeight="false" outlineLevel="0" collapsed="false"/>
    <row r="227" customFormat="false" ht="15" hidden="false" customHeight="false" outlineLevel="0" collapsed="false"/>
    <row r="228" customFormat="false" ht="15" hidden="false" customHeight="false" outlineLevel="0" collapsed="false"/>
    <row r="229" customFormat="false" ht="15" hidden="false" customHeight="false" outlineLevel="0" collapsed="false"/>
    <row r="230" customFormat="false" ht="15" hidden="false" customHeight="false" outlineLevel="0" collapsed="false"/>
    <row r="231" customFormat="false" ht="15" hidden="false" customHeight="false" outlineLevel="0" collapsed="false"/>
    <row r="232" customFormat="false" ht="15" hidden="false" customHeight="false" outlineLevel="0" collapsed="false"/>
    <row r="233" customFormat="false" ht="15" hidden="false" customHeight="false" outlineLevel="0" collapsed="false"/>
    <row r="234" customFormat="false" ht="15" hidden="false" customHeight="false" outlineLevel="0" collapsed="false"/>
    <row r="235" customFormat="false" ht="15" hidden="false" customHeight="false" outlineLevel="0" collapsed="false"/>
    <row r="236" customFormat="false" ht="15" hidden="false" customHeight="false" outlineLevel="0" collapsed="false"/>
    <row r="237" customFormat="false" ht="15" hidden="false" customHeight="false" outlineLevel="0" collapsed="false"/>
    <row r="238" customFormat="false" ht="15" hidden="false" customHeight="false" outlineLevel="0" collapsed="false"/>
    <row r="239" customFormat="false" ht="15" hidden="false" customHeight="false" outlineLevel="0" collapsed="false"/>
    <row r="240" customFormat="false" ht="15" hidden="false" customHeight="false" outlineLevel="0" collapsed="false"/>
    <row r="241" customFormat="false" ht="15" hidden="false" customHeight="false" outlineLevel="0" collapsed="false"/>
    <row r="242" customFormat="false" ht="15" hidden="false" customHeight="false" outlineLevel="0" collapsed="false"/>
    <row r="243" customFormat="false" ht="15" hidden="false" customHeight="false" outlineLevel="0" collapsed="false"/>
    <row r="244" customFormat="false" ht="15" hidden="false" customHeight="false" outlineLevel="0" collapsed="false"/>
    <row r="245" customFormat="false" ht="15" hidden="false" customHeight="false" outlineLevel="0" collapsed="false"/>
    <row r="246" customFormat="false" ht="15" hidden="false" customHeight="false" outlineLevel="0" collapsed="false"/>
    <row r="247" customFormat="false" ht="15" hidden="false" customHeight="false" outlineLevel="0" collapsed="false"/>
    <row r="248" customFormat="false" ht="15" hidden="false" customHeight="false" outlineLevel="0" collapsed="false"/>
    <row r="249" customFormat="false" ht="15" hidden="false" customHeight="false" outlineLevel="0" collapsed="false"/>
    <row r="250" customFormat="false" ht="15" hidden="false" customHeight="false" outlineLevel="0" collapsed="false"/>
    <row r="251" customFormat="false" ht="15" hidden="false" customHeight="false" outlineLevel="0" collapsed="false"/>
    <row r="252" customFormat="false" ht="15" hidden="false" customHeight="false" outlineLevel="0" collapsed="false"/>
    <row r="253" customFormat="false" ht="15" hidden="false" customHeight="false" outlineLevel="0" collapsed="false"/>
    <row r="254" customFormat="false" ht="15" hidden="false" customHeight="false" outlineLevel="0" collapsed="false"/>
    <row r="255" customFormat="false" ht="15" hidden="false" customHeight="false" outlineLevel="0" collapsed="false"/>
    <row r="256" customFormat="false" ht="15" hidden="false" customHeight="false" outlineLevel="0" collapsed="false"/>
    <row r="257" customFormat="false" ht="15" hidden="false" customHeight="false" outlineLevel="0" collapsed="false"/>
    <row r="258" customFormat="false" ht="15" hidden="false" customHeight="false" outlineLevel="0" collapsed="false"/>
    <row r="259" customFormat="false" ht="15" hidden="false" customHeight="false" outlineLevel="0" collapsed="false"/>
    <row r="260" customFormat="false" ht="15" hidden="false" customHeight="false" outlineLevel="0" collapsed="false"/>
    <row r="261" customFormat="false" ht="15" hidden="false" customHeight="false" outlineLevel="0" collapsed="false"/>
    <row r="262" customFormat="false" ht="15" hidden="false" customHeight="false" outlineLevel="0" collapsed="false"/>
    <row r="263" customFormat="false" ht="15" hidden="false" customHeight="false" outlineLevel="0" collapsed="false"/>
    <row r="264" customFormat="false" ht="15" hidden="false" customHeight="false" outlineLevel="0" collapsed="false"/>
    <row r="265" customFormat="false" ht="15" hidden="false" customHeight="false" outlineLevel="0" collapsed="false"/>
    <row r="266" customFormat="false" ht="15" hidden="false" customHeight="false" outlineLevel="0" collapsed="false"/>
    <row r="267" customFormat="false" ht="15" hidden="false" customHeight="false" outlineLevel="0" collapsed="false"/>
    <row r="268" customFormat="false" ht="15" hidden="false" customHeight="false" outlineLevel="0" collapsed="false"/>
    <row r="269" customFormat="false" ht="15" hidden="false" customHeight="false" outlineLevel="0" collapsed="false"/>
    <row r="270" customFormat="false" ht="15" hidden="false" customHeight="false" outlineLevel="0" collapsed="false"/>
    <row r="271" customFormat="false" ht="15" hidden="false" customHeight="false" outlineLevel="0" collapsed="false"/>
    <row r="272" customFormat="false" ht="15" hidden="false" customHeight="false" outlineLevel="0" collapsed="false"/>
    <row r="273" customFormat="false" ht="15" hidden="false" customHeight="false" outlineLevel="0" collapsed="false"/>
    <row r="274" customFormat="false" ht="15" hidden="false" customHeight="false" outlineLevel="0" collapsed="false"/>
    <row r="275" customFormat="false" ht="15" hidden="false" customHeight="false" outlineLevel="0" collapsed="false"/>
    <row r="276" customFormat="false" ht="15" hidden="false" customHeight="false" outlineLevel="0" collapsed="false"/>
    <row r="277" customFormat="false" ht="15" hidden="false" customHeight="false" outlineLevel="0" collapsed="false"/>
    <row r="278" customFormat="false" ht="15" hidden="false" customHeight="false" outlineLevel="0" collapsed="false"/>
    <row r="279" customFormat="false" ht="15" hidden="false" customHeight="false" outlineLevel="0" collapsed="false"/>
    <row r="280" customFormat="false" ht="15" hidden="false" customHeight="false" outlineLevel="0" collapsed="false"/>
    <row r="281" customFormat="false" ht="15" hidden="false" customHeight="false" outlineLevel="0" collapsed="false"/>
    <row r="282" customFormat="false" ht="15" hidden="false" customHeight="false" outlineLevel="0" collapsed="false"/>
    <row r="283" customFormat="false" ht="15" hidden="false" customHeight="false" outlineLevel="0" collapsed="false"/>
    <row r="284" customFormat="false" ht="15" hidden="false" customHeight="false" outlineLevel="0" collapsed="false"/>
    <row r="285" customFormat="false" ht="15" hidden="false" customHeight="false" outlineLevel="0" collapsed="false"/>
    <row r="286" customFormat="false" ht="15" hidden="false" customHeight="false" outlineLevel="0" collapsed="false"/>
    <row r="287" customFormat="false" ht="15" hidden="false" customHeight="false" outlineLevel="0" collapsed="false"/>
    <row r="288" customFormat="false" ht="15" hidden="false" customHeight="false" outlineLevel="0" collapsed="false"/>
    <row r="289" customFormat="false" ht="15" hidden="false" customHeight="false" outlineLevel="0" collapsed="false"/>
    <row r="290" customFormat="false" ht="15" hidden="false" customHeight="false" outlineLevel="0" collapsed="false"/>
    <row r="291" customFormat="false" ht="15" hidden="false" customHeight="false" outlineLevel="0" collapsed="false"/>
    <row r="292" customFormat="false" ht="15" hidden="false" customHeight="false" outlineLevel="0" collapsed="false"/>
    <row r="293" customFormat="false" ht="15" hidden="false" customHeight="false" outlineLevel="0" collapsed="false"/>
    <row r="294" customFormat="false" ht="15" hidden="false" customHeight="false" outlineLevel="0" collapsed="false"/>
    <row r="295" customFormat="false" ht="15" hidden="false" customHeight="false" outlineLevel="0" collapsed="false"/>
    <row r="296" customFormat="false" ht="15" hidden="false" customHeight="false" outlineLevel="0" collapsed="false"/>
    <row r="297" customFormat="false" ht="15" hidden="false" customHeight="false" outlineLevel="0" collapsed="false"/>
    <row r="298" customFormat="false" ht="15" hidden="false" customHeight="false" outlineLevel="0" collapsed="false"/>
    <row r="299" customFormat="false" ht="15" hidden="false" customHeight="false" outlineLevel="0" collapsed="false"/>
    <row r="300" customFormat="false" ht="15" hidden="false" customHeight="false" outlineLevel="0" collapsed="false"/>
    <row r="301" customFormat="false" ht="15" hidden="false" customHeight="false" outlineLevel="0" collapsed="false"/>
    <row r="302" customFormat="false" ht="15" hidden="false" customHeight="false" outlineLevel="0" collapsed="false"/>
    <row r="303" customFormat="false" ht="15" hidden="false" customHeight="false" outlineLevel="0" collapsed="false"/>
    <row r="304" customFormat="false" ht="15" hidden="false" customHeight="false" outlineLevel="0" collapsed="false"/>
    <row r="305" customFormat="false" ht="15" hidden="false" customHeight="false" outlineLevel="0" collapsed="false"/>
    <row r="306" customFormat="false" ht="15" hidden="false" customHeight="false" outlineLevel="0" collapsed="false"/>
    <row r="307" customFormat="false" ht="15" hidden="false" customHeight="false" outlineLevel="0" collapsed="false"/>
    <row r="308" customFormat="false" ht="15" hidden="false" customHeight="false" outlineLevel="0" collapsed="false"/>
    <row r="309" customFormat="false" ht="15" hidden="false" customHeight="false" outlineLevel="0" collapsed="false"/>
    <row r="310" customFormat="false" ht="15" hidden="false" customHeight="false" outlineLevel="0" collapsed="false"/>
    <row r="311" customFormat="false" ht="15" hidden="false" customHeight="false" outlineLevel="0" collapsed="false"/>
    <row r="312" customFormat="false" ht="15" hidden="false" customHeight="false" outlineLevel="0" collapsed="false"/>
    <row r="313" customFormat="false" ht="15" hidden="false" customHeight="false" outlineLevel="0" collapsed="false"/>
    <row r="314" customFormat="false" ht="15" hidden="false" customHeight="false" outlineLevel="0" collapsed="false"/>
    <row r="315" customFormat="false" ht="15" hidden="false" customHeight="false" outlineLevel="0" collapsed="false"/>
    <row r="316" customFormat="false" ht="15" hidden="false" customHeight="false" outlineLevel="0" collapsed="false"/>
    <row r="317" customFormat="false" ht="15" hidden="false" customHeight="false" outlineLevel="0" collapsed="false"/>
    <row r="318" customFormat="false" ht="15" hidden="false" customHeight="false" outlineLevel="0" collapsed="false"/>
    <row r="319" customFormat="false" ht="15" hidden="false" customHeight="false" outlineLevel="0" collapsed="false"/>
    <row r="320" customFormat="false" ht="15" hidden="false" customHeight="false" outlineLevel="0" collapsed="false"/>
    <row r="321" customFormat="false" ht="15" hidden="false" customHeight="false" outlineLevel="0" collapsed="false"/>
    <row r="322" customFormat="false" ht="15" hidden="false" customHeight="false" outlineLevel="0" collapsed="false"/>
    <row r="323" customFormat="false" ht="15" hidden="false" customHeight="false" outlineLevel="0" collapsed="false"/>
    <row r="324" customFormat="false" ht="15" hidden="false" customHeight="false" outlineLevel="0" collapsed="false"/>
    <row r="325" customFormat="false" ht="15" hidden="false" customHeight="false" outlineLevel="0" collapsed="false"/>
    <row r="326" customFormat="false" ht="15" hidden="false" customHeight="false" outlineLevel="0" collapsed="false"/>
    <row r="327" customFormat="false" ht="15" hidden="false" customHeight="false" outlineLevel="0" collapsed="false"/>
    <row r="328" customFormat="false" ht="15" hidden="false" customHeight="false" outlineLevel="0" collapsed="false"/>
    <row r="329" customFormat="false" ht="15" hidden="false" customHeight="false" outlineLevel="0" collapsed="false"/>
    <row r="330" customFormat="false" ht="15" hidden="false" customHeight="false" outlineLevel="0" collapsed="false"/>
    <row r="331" customFormat="false" ht="15" hidden="false" customHeight="false" outlineLevel="0" collapsed="false"/>
    <row r="332" customFormat="false" ht="15" hidden="false" customHeight="false" outlineLevel="0" collapsed="false"/>
    <row r="333" customFormat="false" ht="15" hidden="false" customHeight="false" outlineLevel="0" collapsed="false"/>
    <row r="334" customFormat="false" ht="15" hidden="false" customHeight="false" outlineLevel="0" collapsed="false"/>
    <row r="335" customFormat="false" ht="15" hidden="false" customHeight="false" outlineLevel="0" collapsed="false"/>
    <row r="336" customFormat="false" ht="15" hidden="false" customHeight="false" outlineLevel="0" collapsed="false"/>
    <row r="337" customFormat="false" ht="15" hidden="false" customHeight="false" outlineLevel="0" collapsed="false"/>
    <row r="338" customFormat="false" ht="15" hidden="false" customHeight="false" outlineLevel="0" collapsed="false"/>
    <row r="339" customFormat="false" ht="15" hidden="false" customHeight="false" outlineLevel="0" collapsed="false"/>
    <row r="340" customFormat="false" ht="15" hidden="false" customHeight="false" outlineLevel="0" collapsed="false"/>
    <row r="341" customFormat="false" ht="15" hidden="false" customHeight="false" outlineLevel="0" collapsed="false"/>
    <row r="342" customFormat="false" ht="15" hidden="false" customHeight="false" outlineLevel="0" collapsed="false"/>
    <row r="343" customFormat="false" ht="15" hidden="false" customHeight="false" outlineLevel="0" collapsed="false"/>
    <row r="344" customFormat="false" ht="15" hidden="false" customHeight="false" outlineLevel="0" collapsed="false"/>
    <row r="345" customFormat="false" ht="15" hidden="false" customHeight="false" outlineLevel="0" collapsed="false"/>
    <row r="346" customFormat="false" ht="15" hidden="false" customHeight="false" outlineLevel="0" collapsed="false"/>
    <row r="347" customFormat="false" ht="15" hidden="false" customHeight="false" outlineLevel="0" collapsed="false"/>
    <row r="348" customFormat="false" ht="15" hidden="false" customHeight="false" outlineLevel="0" collapsed="false"/>
    <row r="349" customFormat="false" ht="15" hidden="false" customHeight="false" outlineLevel="0" collapsed="false"/>
    <row r="350" customFormat="false" ht="15" hidden="false" customHeight="false" outlineLevel="0" collapsed="false"/>
    <row r="351" customFormat="false" ht="15" hidden="false" customHeight="false" outlineLevel="0" collapsed="false"/>
    <row r="352" customFormat="false" ht="15" hidden="false" customHeight="false" outlineLevel="0" collapsed="false"/>
    <row r="353" customFormat="false" ht="15" hidden="false" customHeight="false" outlineLevel="0" collapsed="false"/>
    <row r="354" customFormat="false" ht="15" hidden="false" customHeight="false" outlineLevel="0" collapsed="false"/>
    <row r="355" customFormat="false" ht="15" hidden="false" customHeight="false" outlineLevel="0" collapsed="false"/>
    <row r="356" customFormat="false" ht="15" hidden="false" customHeight="false" outlineLevel="0" collapsed="false"/>
    <row r="357" customFormat="false" ht="15" hidden="false" customHeight="false" outlineLevel="0" collapsed="false"/>
    <row r="358" customFormat="false" ht="15" hidden="false" customHeight="false" outlineLevel="0" collapsed="false"/>
    <row r="359" customFormat="false" ht="15" hidden="false" customHeight="false" outlineLevel="0" collapsed="false"/>
    <row r="360" customFormat="false" ht="15" hidden="false" customHeight="false" outlineLevel="0" collapsed="false"/>
    <row r="361" customFormat="false" ht="15" hidden="false" customHeight="false" outlineLevel="0" collapsed="false"/>
    <row r="362" customFormat="false" ht="15" hidden="false" customHeight="false" outlineLevel="0" collapsed="false"/>
    <row r="363" customFormat="false" ht="15" hidden="false" customHeight="false" outlineLevel="0" collapsed="false"/>
    <row r="364" customFormat="false" ht="15" hidden="false" customHeight="false" outlineLevel="0" collapsed="false"/>
    <row r="365" customFormat="false" ht="15" hidden="false" customHeight="false" outlineLevel="0" collapsed="false"/>
    <row r="366" customFormat="false" ht="15" hidden="false" customHeight="false" outlineLevel="0" collapsed="false"/>
    <row r="367" customFormat="false" ht="15" hidden="false" customHeight="false" outlineLevel="0" collapsed="false"/>
    <row r="368" customFormat="false" ht="15" hidden="false" customHeight="false" outlineLevel="0" collapsed="false"/>
    <row r="369" customFormat="false" ht="15" hidden="false" customHeight="false" outlineLevel="0" collapsed="false"/>
    <row r="370" customFormat="false" ht="15" hidden="false" customHeight="false" outlineLevel="0" collapsed="false"/>
    <row r="371" customFormat="false" ht="15" hidden="false" customHeight="false" outlineLevel="0" collapsed="false"/>
    <row r="372" customFormat="false" ht="15" hidden="false" customHeight="false" outlineLevel="0" collapsed="false"/>
    <row r="373" customFormat="false" ht="15" hidden="false" customHeight="false" outlineLevel="0" collapsed="false"/>
    <row r="374" customFormat="false" ht="15" hidden="false" customHeight="false" outlineLevel="0" collapsed="false"/>
    <row r="375" customFormat="false" ht="15" hidden="false" customHeight="false" outlineLevel="0" collapsed="false"/>
    <row r="376" customFormat="false" ht="15" hidden="false" customHeight="false" outlineLevel="0" collapsed="false"/>
    <row r="377" customFormat="false" ht="15" hidden="false" customHeight="false" outlineLevel="0" collapsed="false"/>
    <row r="378" customFormat="false" ht="15" hidden="false" customHeight="false" outlineLevel="0" collapsed="false"/>
    <row r="379" customFormat="false" ht="15" hidden="false" customHeight="false" outlineLevel="0" collapsed="false"/>
    <row r="380" customFormat="false" ht="15" hidden="false" customHeight="false" outlineLevel="0" collapsed="false"/>
    <row r="381" customFormat="false" ht="15" hidden="false" customHeight="false" outlineLevel="0" collapsed="false"/>
    <row r="382" customFormat="false" ht="15" hidden="false" customHeight="false" outlineLevel="0" collapsed="false"/>
    <row r="383" customFormat="false" ht="15" hidden="false" customHeight="false" outlineLevel="0" collapsed="false"/>
    <row r="384" customFormat="false" ht="15" hidden="false" customHeight="false" outlineLevel="0" collapsed="false"/>
    <row r="385" customFormat="false" ht="15" hidden="false" customHeight="false" outlineLevel="0" collapsed="false"/>
    <row r="386" customFormat="false" ht="15" hidden="false" customHeight="false" outlineLevel="0" collapsed="false"/>
    <row r="387" customFormat="false" ht="15" hidden="false" customHeight="false" outlineLevel="0" collapsed="false"/>
    <row r="388" customFormat="false" ht="15" hidden="false" customHeight="false" outlineLevel="0" collapsed="false"/>
    <row r="389" customFormat="false" ht="15" hidden="false" customHeight="false" outlineLevel="0" collapsed="false"/>
    <row r="390" customFormat="false" ht="15" hidden="false" customHeight="false" outlineLevel="0" collapsed="false"/>
    <row r="391" customFormat="false" ht="15" hidden="false" customHeight="false" outlineLevel="0" collapsed="false"/>
    <row r="392" customFormat="false" ht="15" hidden="false" customHeight="false" outlineLevel="0" collapsed="false"/>
    <row r="393" customFormat="false" ht="15" hidden="false" customHeight="false" outlineLevel="0" collapsed="false"/>
    <row r="394" customFormat="false" ht="15" hidden="false" customHeight="false" outlineLevel="0" collapsed="false"/>
    <row r="395" customFormat="false" ht="15" hidden="false" customHeight="false" outlineLevel="0" collapsed="false"/>
    <row r="396" customFormat="false" ht="15" hidden="false" customHeight="false" outlineLevel="0" collapsed="false"/>
    <row r="397" customFormat="false" ht="15" hidden="false" customHeight="false" outlineLevel="0" collapsed="false"/>
    <row r="398" customFormat="false" ht="15" hidden="false" customHeight="false" outlineLevel="0" collapsed="false"/>
    <row r="399" customFormat="false" ht="15" hidden="false" customHeight="false" outlineLevel="0" collapsed="false"/>
    <row r="400" customFormat="false" ht="15" hidden="false" customHeight="false" outlineLevel="0" collapsed="false"/>
    <row r="401" customFormat="false" ht="15" hidden="false" customHeight="false" outlineLevel="0" collapsed="false"/>
    <row r="402" customFormat="false" ht="15" hidden="false" customHeight="false" outlineLevel="0" collapsed="false"/>
    <row r="403" customFormat="false" ht="15" hidden="false" customHeight="false" outlineLevel="0" collapsed="false"/>
    <row r="404" customFormat="false" ht="15" hidden="false" customHeight="false" outlineLevel="0" collapsed="false"/>
    <row r="405" customFormat="false" ht="15" hidden="false" customHeight="false" outlineLevel="0" collapsed="false"/>
    <row r="406" customFormat="false" ht="15" hidden="false" customHeight="false" outlineLevel="0" collapsed="false"/>
    <row r="407" customFormat="false" ht="15" hidden="false" customHeight="false" outlineLevel="0" collapsed="false"/>
    <row r="408" customFormat="false" ht="15" hidden="false" customHeight="false" outlineLevel="0" collapsed="false"/>
    <row r="409" customFormat="false" ht="15" hidden="false" customHeight="false" outlineLevel="0" collapsed="false"/>
    <row r="410" customFormat="false" ht="15" hidden="false" customHeight="false" outlineLevel="0" collapsed="false"/>
    <row r="411" customFormat="false" ht="15" hidden="false" customHeight="false" outlineLevel="0" collapsed="false"/>
    <row r="412" customFormat="false" ht="15" hidden="false" customHeight="false" outlineLevel="0" collapsed="false"/>
    <row r="413" customFormat="false" ht="15" hidden="false" customHeight="false" outlineLevel="0" collapsed="false"/>
    <row r="414" customFormat="false" ht="15" hidden="false" customHeight="false" outlineLevel="0" collapsed="false"/>
    <row r="415" customFormat="false" ht="15" hidden="false" customHeight="false" outlineLevel="0" collapsed="false"/>
    <row r="416" customFormat="false" ht="15" hidden="false" customHeight="false" outlineLevel="0" collapsed="false"/>
    <row r="417" customFormat="false" ht="15" hidden="false" customHeight="false" outlineLevel="0" collapsed="false"/>
    <row r="418" customFormat="false" ht="15" hidden="false" customHeight="false" outlineLevel="0" collapsed="false"/>
    <row r="419" customFormat="false" ht="15" hidden="false" customHeight="false" outlineLevel="0" collapsed="false"/>
    <row r="420" customFormat="false" ht="15" hidden="false" customHeight="false" outlineLevel="0" collapsed="false"/>
    <row r="421" customFormat="false" ht="15" hidden="false" customHeight="false" outlineLevel="0" collapsed="false"/>
    <row r="422" customFormat="false" ht="15" hidden="false" customHeight="false" outlineLevel="0" collapsed="false"/>
    <row r="423" customFormat="false" ht="15" hidden="false" customHeight="false" outlineLevel="0" collapsed="false"/>
    <row r="424" customFormat="false" ht="15" hidden="false" customHeight="false" outlineLevel="0" collapsed="false"/>
    <row r="425" customFormat="false" ht="15" hidden="false" customHeight="false" outlineLevel="0" collapsed="false"/>
    <row r="426" customFormat="false" ht="15" hidden="false" customHeight="false" outlineLevel="0" collapsed="false"/>
    <row r="427" customFormat="false" ht="15" hidden="false" customHeight="false" outlineLevel="0" collapsed="false"/>
    <row r="428" customFormat="false" ht="15" hidden="false" customHeight="false" outlineLevel="0" collapsed="false"/>
    <row r="429" customFormat="false" ht="15" hidden="false" customHeight="false" outlineLevel="0" collapsed="false"/>
    <row r="430" customFormat="false" ht="15" hidden="false" customHeight="false" outlineLevel="0" collapsed="false"/>
    <row r="431" customFormat="false" ht="15" hidden="false" customHeight="false" outlineLevel="0" collapsed="false"/>
    <row r="432" customFormat="false" ht="15" hidden="false" customHeight="false" outlineLevel="0" collapsed="false"/>
    <row r="433" customFormat="false" ht="15" hidden="false" customHeight="false" outlineLevel="0" collapsed="false"/>
    <row r="434" customFormat="false" ht="15" hidden="false" customHeight="false" outlineLevel="0" collapsed="false"/>
    <row r="435" customFormat="false" ht="15" hidden="false" customHeight="false" outlineLevel="0" collapsed="false"/>
    <row r="436" customFormat="false" ht="15" hidden="false" customHeight="false" outlineLevel="0" collapsed="false"/>
    <row r="437" customFormat="false" ht="15" hidden="false" customHeight="false" outlineLevel="0" collapsed="false"/>
    <row r="438" customFormat="false" ht="15" hidden="false" customHeight="false" outlineLevel="0" collapsed="false"/>
    <row r="439" customFormat="false" ht="15" hidden="false" customHeight="false" outlineLevel="0" collapsed="false"/>
    <row r="440" customFormat="false" ht="15" hidden="false" customHeight="false" outlineLevel="0" collapsed="false"/>
    <row r="441" customFormat="false" ht="15" hidden="false" customHeight="false" outlineLevel="0" collapsed="false"/>
    <row r="442" customFormat="false" ht="15" hidden="false" customHeight="false" outlineLevel="0" collapsed="false"/>
    <row r="443" customFormat="false" ht="15" hidden="false" customHeight="false" outlineLevel="0" collapsed="false"/>
    <row r="444" customFormat="false" ht="15" hidden="false" customHeight="false" outlineLevel="0" collapsed="false"/>
    <row r="445" customFormat="false" ht="15" hidden="false" customHeight="false" outlineLevel="0" collapsed="false"/>
    <row r="446" customFormat="false" ht="15" hidden="false" customHeight="false" outlineLevel="0" collapsed="false"/>
    <row r="447" customFormat="false" ht="15" hidden="false" customHeight="false" outlineLevel="0" collapsed="false"/>
    <row r="448" customFormat="false" ht="15" hidden="false" customHeight="false" outlineLevel="0" collapsed="false"/>
    <row r="449" customFormat="false" ht="15" hidden="false" customHeight="false" outlineLevel="0" collapsed="false"/>
    <row r="450" customFormat="false" ht="15" hidden="false" customHeight="false" outlineLevel="0" collapsed="false"/>
    <row r="451" customFormat="false" ht="15" hidden="false" customHeight="false" outlineLevel="0" collapsed="false"/>
    <row r="452" customFormat="false" ht="15" hidden="false" customHeight="false" outlineLevel="0" collapsed="false"/>
    <row r="453" customFormat="false" ht="15" hidden="false" customHeight="false" outlineLevel="0" collapsed="false"/>
    <row r="454" customFormat="false" ht="15" hidden="false" customHeight="false" outlineLevel="0" collapsed="false"/>
    <row r="455" customFormat="false" ht="15" hidden="false" customHeight="false" outlineLevel="0" collapsed="false"/>
    <row r="456" customFormat="false" ht="15" hidden="false" customHeight="false" outlineLevel="0" collapsed="false"/>
    <row r="457" customFormat="false" ht="15" hidden="false" customHeight="false" outlineLevel="0" collapsed="false"/>
    <row r="458" customFormat="false" ht="15" hidden="false" customHeight="false" outlineLevel="0" collapsed="false"/>
    <row r="459" customFormat="false" ht="15" hidden="false" customHeight="false" outlineLevel="0" collapsed="false"/>
    <row r="460" customFormat="false" ht="15" hidden="false" customHeight="false" outlineLevel="0" collapsed="false"/>
    <row r="461" customFormat="false" ht="15" hidden="false" customHeight="false" outlineLevel="0" collapsed="false"/>
    <row r="462" customFormat="false" ht="15" hidden="false" customHeight="false" outlineLevel="0" collapsed="false"/>
    <row r="463" customFormat="false" ht="15" hidden="false" customHeight="false" outlineLevel="0" collapsed="false"/>
    <row r="464" customFormat="false" ht="15" hidden="false" customHeight="false" outlineLevel="0" collapsed="false"/>
    <row r="465" customFormat="false" ht="15" hidden="false" customHeight="false" outlineLevel="0" collapsed="false"/>
    <row r="466" customFormat="false" ht="15" hidden="false" customHeight="false" outlineLevel="0" collapsed="false"/>
    <row r="467" customFormat="false" ht="15" hidden="false" customHeight="false" outlineLevel="0" collapsed="false"/>
    <row r="468" customFormat="false" ht="15" hidden="false" customHeight="false" outlineLevel="0" collapsed="false"/>
    <row r="469" customFormat="false" ht="15" hidden="false" customHeight="false" outlineLevel="0" collapsed="false"/>
    <row r="470" customFormat="false" ht="15" hidden="false" customHeight="false" outlineLevel="0" collapsed="false"/>
    <row r="471" customFormat="false" ht="15" hidden="false" customHeight="false" outlineLevel="0" collapsed="false"/>
    <row r="472" customFormat="false" ht="15" hidden="false" customHeight="false" outlineLevel="0" collapsed="false"/>
    <row r="473" customFormat="false" ht="15" hidden="false" customHeight="false" outlineLevel="0" collapsed="false"/>
    <row r="474" customFormat="false" ht="15" hidden="false" customHeight="false" outlineLevel="0" collapsed="false"/>
    <row r="475" customFormat="false" ht="15" hidden="false" customHeight="false" outlineLevel="0" collapsed="false"/>
    <row r="476" customFormat="false" ht="15" hidden="false" customHeight="false" outlineLevel="0" collapsed="false"/>
    <row r="477" customFormat="false" ht="15" hidden="false" customHeight="false" outlineLevel="0" collapsed="false"/>
    <row r="478" customFormat="false" ht="15" hidden="false" customHeight="false" outlineLevel="0" collapsed="false"/>
    <row r="479" customFormat="false" ht="15" hidden="false" customHeight="false" outlineLevel="0" collapsed="false"/>
    <row r="480" customFormat="false" ht="15" hidden="false" customHeight="false" outlineLevel="0" collapsed="false"/>
    <row r="481" customFormat="false" ht="15" hidden="false" customHeight="false" outlineLevel="0" collapsed="false"/>
    <row r="482" customFormat="false" ht="15" hidden="false" customHeight="false" outlineLevel="0" collapsed="false"/>
    <row r="483" customFormat="false" ht="15" hidden="false" customHeight="false" outlineLevel="0" collapsed="false"/>
    <row r="484" customFormat="false" ht="15" hidden="false" customHeight="false" outlineLevel="0" collapsed="false"/>
    <row r="485" customFormat="false" ht="15" hidden="false" customHeight="false" outlineLevel="0" collapsed="false"/>
    <row r="486" customFormat="false" ht="15" hidden="false" customHeight="false" outlineLevel="0" collapsed="false"/>
    <row r="487" customFormat="false" ht="15" hidden="false" customHeight="false" outlineLevel="0" collapsed="false"/>
    <row r="488" customFormat="false" ht="15" hidden="false" customHeight="false" outlineLevel="0" collapsed="false"/>
    <row r="489" customFormat="false" ht="15" hidden="false" customHeight="false" outlineLevel="0" collapsed="false"/>
    <row r="490" customFormat="false" ht="15" hidden="false" customHeight="false" outlineLevel="0" collapsed="false"/>
    <row r="491" customFormat="false" ht="15" hidden="false" customHeight="false" outlineLevel="0" collapsed="false"/>
    <row r="492" customFormat="false" ht="15" hidden="false" customHeight="false" outlineLevel="0" collapsed="false"/>
    <row r="493" customFormat="false" ht="15" hidden="false" customHeight="false" outlineLevel="0" collapsed="false"/>
    <row r="494" customFormat="false" ht="15" hidden="false" customHeight="false" outlineLevel="0" collapsed="false"/>
    <row r="495" customFormat="false" ht="15" hidden="false" customHeight="false" outlineLevel="0" collapsed="false"/>
    <row r="496" customFormat="false" ht="15" hidden="false" customHeight="false" outlineLevel="0" collapsed="false"/>
    <row r="497" customFormat="false" ht="15" hidden="false" customHeight="false" outlineLevel="0" collapsed="false"/>
    <row r="498" customFormat="false" ht="15" hidden="false" customHeight="false" outlineLevel="0" collapsed="false"/>
    <row r="499" customFormat="false" ht="15" hidden="false" customHeight="false" outlineLevel="0" collapsed="false"/>
    <row r="500" customFormat="false" ht="15" hidden="false" customHeight="false" outlineLevel="0" collapsed="false"/>
    <row r="501" customFormat="false" ht="15" hidden="false" customHeight="false" outlineLevel="0" collapsed="false"/>
    <row r="502" customFormat="false" ht="15" hidden="false" customHeight="false" outlineLevel="0" collapsed="false"/>
    <row r="503" customFormat="false" ht="15" hidden="false" customHeight="false" outlineLevel="0" collapsed="false"/>
    <row r="504" customFormat="false" ht="15" hidden="false" customHeight="false" outlineLevel="0" collapsed="false"/>
    <row r="505" customFormat="false" ht="15" hidden="false" customHeight="false" outlineLevel="0" collapsed="false"/>
    <row r="506" customFormat="false" ht="15" hidden="false" customHeight="false" outlineLevel="0" collapsed="false"/>
    <row r="507" customFormat="false" ht="15" hidden="false" customHeight="false" outlineLevel="0" collapsed="false"/>
    <row r="508" customFormat="false" ht="15" hidden="false" customHeight="false" outlineLevel="0" collapsed="false"/>
    <row r="509" customFormat="false" ht="15" hidden="false" customHeight="false" outlineLevel="0" collapsed="false"/>
    <row r="510" customFormat="false" ht="15" hidden="false" customHeight="false" outlineLevel="0" collapsed="false"/>
    <row r="511" customFormat="false" ht="15" hidden="false" customHeight="false" outlineLevel="0" collapsed="false"/>
    <row r="512" customFormat="false" ht="15" hidden="false" customHeight="false" outlineLevel="0" collapsed="false"/>
    <row r="513" customFormat="false" ht="15" hidden="false" customHeight="false" outlineLevel="0" collapsed="false"/>
    <row r="514" customFormat="false" ht="15" hidden="false" customHeight="false" outlineLevel="0" collapsed="false"/>
    <row r="515" customFormat="false" ht="15" hidden="false" customHeight="false" outlineLevel="0" collapsed="false"/>
    <row r="516" customFormat="false" ht="15" hidden="false" customHeight="false" outlineLevel="0" collapsed="false"/>
    <row r="517" customFormat="false" ht="15" hidden="false" customHeight="false" outlineLevel="0" collapsed="false"/>
    <row r="518" customFormat="false" ht="15" hidden="false" customHeight="false" outlineLevel="0" collapsed="false"/>
    <row r="519" customFormat="false" ht="15" hidden="false" customHeight="false" outlineLevel="0" collapsed="false"/>
    <row r="520" customFormat="false" ht="15" hidden="false" customHeight="false" outlineLevel="0" collapsed="false"/>
    <row r="521" customFormat="false" ht="15" hidden="false" customHeight="false" outlineLevel="0" collapsed="false"/>
    <row r="522" customFormat="false" ht="15" hidden="false" customHeight="false" outlineLevel="0" collapsed="false"/>
    <row r="523" customFormat="false" ht="15" hidden="false" customHeight="false" outlineLevel="0" collapsed="false"/>
    <row r="524" customFormat="false" ht="15" hidden="false" customHeight="false" outlineLevel="0" collapsed="false"/>
    <row r="525" customFormat="false" ht="15" hidden="false" customHeight="false" outlineLevel="0" collapsed="false"/>
    <row r="526" customFormat="false" ht="15" hidden="false" customHeight="false" outlineLevel="0" collapsed="false"/>
    <row r="527" customFormat="false" ht="15" hidden="false" customHeight="false" outlineLevel="0" collapsed="false"/>
    <row r="528" customFormat="false" ht="15" hidden="false" customHeight="false" outlineLevel="0" collapsed="false"/>
    <row r="529" customFormat="false" ht="15" hidden="false" customHeight="false" outlineLevel="0" collapsed="false"/>
    <row r="530" customFormat="false" ht="15" hidden="false" customHeight="false" outlineLevel="0" collapsed="false"/>
    <row r="531" customFormat="false" ht="15" hidden="false" customHeight="false" outlineLevel="0" collapsed="false"/>
    <row r="532" customFormat="false" ht="15" hidden="false" customHeight="false" outlineLevel="0" collapsed="false"/>
    <row r="533" customFormat="false" ht="15" hidden="false" customHeight="false" outlineLevel="0" collapsed="false"/>
    <row r="534" customFormat="false" ht="15" hidden="false" customHeight="false" outlineLevel="0" collapsed="false"/>
    <row r="535" customFormat="false" ht="15" hidden="false" customHeight="false" outlineLevel="0" collapsed="false"/>
    <row r="536" customFormat="false" ht="15" hidden="false" customHeight="false" outlineLevel="0" collapsed="false"/>
    <row r="537" customFormat="false" ht="15" hidden="false" customHeight="false" outlineLevel="0" collapsed="false"/>
    <row r="538" customFormat="false" ht="15" hidden="false" customHeight="false" outlineLevel="0" collapsed="false"/>
    <row r="539" customFormat="false" ht="15" hidden="false" customHeight="false" outlineLevel="0" collapsed="false"/>
    <row r="540" customFormat="false" ht="15" hidden="false" customHeight="false" outlineLevel="0" collapsed="false"/>
    <row r="541" customFormat="false" ht="15" hidden="false" customHeight="false" outlineLevel="0" collapsed="false"/>
    <row r="542" customFormat="false" ht="15" hidden="false" customHeight="false" outlineLevel="0" collapsed="false"/>
    <row r="543" customFormat="false" ht="15" hidden="false" customHeight="false" outlineLevel="0" collapsed="false"/>
    <row r="544" customFormat="false" ht="15" hidden="false" customHeight="false" outlineLevel="0" collapsed="false"/>
    <row r="545" customFormat="false" ht="15" hidden="false" customHeight="false" outlineLevel="0" collapsed="false"/>
    <row r="546" customFormat="false" ht="15" hidden="false" customHeight="false" outlineLevel="0" collapsed="false"/>
    <row r="547" customFormat="false" ht="15" hidden="false" customHeight="false" outlineLevel="0" collapsed="false"/>
    <row r="548" customFormat="false" ht="15" hidden="false" customHeight="false" outlineLevel="0" collapsed="false"/>
    <row r="549" customFormat="false" ht="15" hidden="false" customHeight="false" outlineLevel="0" collapsed="false"/>
    <row r="550" customFormat="false" ht="15" hidden="false" customHeight="false" outlineLevel="0" collapsed="false"/>
    <row r="551" customFormat="false" ht="15" hidden="false" customHeight="false" outlineLevel="0" collapsed="false"/>
    <row r="552" customFormat="false" ht="15" hidden="false" customHeight="false" outlineLevel="0" collapsed="false"/>
    <row r="553" customFormat="false" ht="15" hidden="false" customHeight="false" outlineLevel="0" collapsed="false"/>
    <row r="554" customFormat="false" ht="15" hidden="false" customHeight="false" outlineLevel="0" collapsed="false"/>
    <row r="555" customFormat="false" ht="15" hidden="false" customHeight="false" outlineLevel="0" collapsed="false"/>
    <row r="556" customFormat="false" ht="15" hidden="false" customHeight="false" outlineLevel="0" collapsed="false"/>
    <row r="557" customFormat="false" ht="15" hidden="false" customHeight="false" outlineLevel="0" collapsed="false"/>
    <row r="558" customFormat="false" ht="15" hidden="false" customHeight="false" outlineLevel="0" collapsed="false"/>
    <row r="559" customFormat="false" ht="15" hidden="false" customHeight="false" outlineLevel="0" collapsed="false"/>
    <row r="560" customFormat="false" ht="15" hidden="false" customHeight="false" outlineLevel="0" collapsed="false"/>
    <row r="561" customFormat="false" ht="15" hidden="false" customHeight="false" outlineLevel="0" collapsed="false"/>
    <row r="562" customFormat="false" ht="15" hidden="false" customHeight="false" outlineLevel="0" collapsed="false"/>
    <row r="563" customFormat="false" ht="15" hidden="false" customHeight="false" outlineLevel="0" collapsed="false"/>
    <row r="564" customFormat="false" ht="15" hidden="false" customHeight="false" outlineLevel="0" collapsed="false"/>
    <row r="565" customFormat="false" ht="15" hidden="false" customHeight="false" outlineLevel="0" collapsed="false"/>
    <row r="566" customFormat="false" ht="15" hidden="false" customHeight="false" outlineLevel="0" collapsed="false"/>
    <row r="567" customFormat="false" ht="15" hidden="false" customHeight="false" outlineLevel="0" collapsed="false"/>
    <row r="568" customFormat="false" ht="15" hidden="false" customHeight="false" outlineLevel="0" collapsed="false"/>
    <row r="569" customFormat="false" ht="15" hidden="false" customHeight="false" outlineLevel="0" collapsed="false"/>
    <row r="570" customFormat="false" ht="15" hidden="false" customHeight="false" outlineLevel="0" collapsed="false"/>
    <row r="571" customFormat="false" ht="15" hidden="false" customHeight="false" outlineLevel="0" collapsed="false"/>
    <row r="572" customFormat="false" ht="15" hidden="false" customHeight="false" outlineLevel="0" collapsed="false"/>
    <row r="573" customFormat="false" ht="15" hidden="false" customHeight="false" outlineLevel="0" collapsed="false"/>
    <row r="574" customFormat="false" ht="15" hidden="false" customHeight="false" outlineLevel="0" collapsed="false"/>
    <row r="575" customFormat="false" ht="15" hidden="false" customHeight="false" outlineLevel="0" collapsed="false"/>
    <row r="576" customFormat="false" ht="15" hidden="false" customHeight="false" outlineLevel="0" collapsed="false"/>
    <row r="577" customFormat="false" ht="15" hidden="false" customHeight="false" outlineLevel="0" collapsed="false"/>
    <row r="578" customFormat="false" ht="15" hidden="false" customHeight="false" outlineLevel="0" collapsed="false"/>
    <row r="579" customFormat="false" ht="15" hidden="false" customHeight="false" outlineLevel="0" collapsed="false"/>
    <row r="580" customFormat="false" ht="15" hidden="false" customHeight="false" outlineLevel="0" collapsed="false"/>
    <row r="581" customFormat="false" ht="15" hidden="false" customHeight="false" outlineLevel="0" collapsed="false"/>
    <row r="582" customFormat="false" ht="15" hidden="false" customHeight="false" outlineLevel="0" collapsed="false"/>
    <row r="583" customFormat="false" ht="15" hidden="false" customHeight="false" outlineLevel="0" collapsed="false"/>
    <row r="584" customFormat="false" ht="15" hidden="false" customHeight="false" outlineLevel="0" collapsed="false"/>
    <row r="585" customFormat="false" ht="15" hidden="false" customHeight="false" outlineLevel="0" collapsed="false"/>
    <row r="586" customFormat="false" ht="15" hidden="false" customHeight="false" outlineLevel="0" collapsed="false"/>
    <row r="587" customFormat="false" ht="15" hidden="false" customHeight="false" outlineLevel="0" collapsed="false"/>
    <row r="588" customFormat="false" ht="15" hidden="false" customHeight="false" outlineLevel="0" collapsed="false"/>
    <row r="589" customFormat="false" ht="15" hidden="false" customHeight="false" outlineLevel="0" collapsed="false"/>
    <row r="590" customFormat="false" ht="15" hidden="false" customHeight="false" outlineLevel="0" collapsed="false"/>
    <row r="591" customFormat="false" ht="15" hidden="false" customHeight="false" outlineLevel="0" collapsed="false"/>
    <row r="592" customFormat="false" ht="15" hidden="false" customHeight="false" outlineLevel="0" collapsed="false"/>
    <row r="593" customFormat="false" ht="15" hidden="false" customHeight="false" outlineLevel="0" collapsed="false"/>
    <row r="594" customFormat="false" ht="15" hidden="false" customHeight="false" outlineLevel="0" collapsed="false"/>
    <row r="595" customFormat="false" ht="15" hidden="false" customHeight="false" outlineLevel="0" collapsed="false"/>
    <row r="596" customFormat="false" ht="15" hidden="false" customHeight="false" outlineLevel="0" collapsed="false"/>
    <row r="597" customFormat="false" ht="15" hidden="false" customHeight="false" outlineLevel="0" collapsed="false"/>
    <row r="598" customFormat="false" ht="15" hidden="false" customHeight="false" outlineLevel="0" collapsed="false"/>
    <row r="599" customFormat="false" ht="15" hidden="false" customHeight="false" outlineLevel="0" collapsed="false"/>
    <row r="600" customFormat="false" ht="15" hidden="false" customHeight="false" outlineLevel="0" collapsed="false"/>
    <row r="601" customFormat="false" ht="15" hidden="false" customHeight="false" outlineLevel="0" collapsed="false"/>
    <row r="602" customFormat="false" ht="15" hidden="false" customHeight="false" outlineLevel="0" collapsed="false"/>
    <row r="603" customFormat="false" ht="15" hidden="false" customHeight="false" outlineLevel="0" collapsed="false"/>
    <row r="604" customFormat="false" ht="15" hidden="false" customHeight="false" outlineLevel="0" collapsed="false"/>
    <row r="605" customFormat="false" ht="15" hidden="false" customHeight="false" outlineLevel="0" collapsed="false"/>
    <row r="606" customFormat="false" ht="15" hidden="false" customHeight="false" outlineLevel="0" collapsed="false"/>
    <row r="607" customFormat="false" ht="15" hidden="false" customHeight="false" outlineLevel="0" collapsed="false"/>
    <row r="608" customFormat="false" ht="15" hidden="false" customHeight="false" outlineLevel="0" collapsed="false"/>
    <row r="609" customFormat="false" ht="15" hidden="false" customHeight="false" outlineLevel="0" collapsed="false"/>
    <row r="610" customFormat="false" ht="15" hidden="false" customHeight="false" outlineLevel="0" collapsed="false"/>
    <row r="611" customFormat="false" ht="15" hidden="false" customHeight="false" outlineLevel="0" collapsed="false"/>
    <row r="612" customFormat="false" ht="15" hidden="false" customHeight="false" outlineLevel="0" collapsed="false"/>
    <row r="613" customFormat="false" ht="15" hidden="false" customHeight="false" outlineLevel="0" collapsed="false"/>
    <row r="614" customFormat="false" ht="15" hidden="false" customHeight="false" outlineLevel="0" collapsed="false"/>
    <row r="615" customFormat="false" ht="15" hidden="false" customHeight="false" outlineLevel="0" collapsed="false"/>
    <row r="616" customFormat="false" ht="15" hidden="false" customHeight="false" outlineLevel="0" collapsed="false"/>
    <row r="617" customFormat="false" ht="15" hidden="false" customHeight="false" outlineLevel="0" collapsed="false"/>
    <row r="618" customFormat="false" ht="15" hidden="false" customHeight="false" outlineLevel="0" collapsed="false"/>
    <row r="619" customFormat="false" ht="15" hidden="false" customHeight="false" outlineLevel="0" collapsed="false"/>
    <row r="620" customFormat="false" ht="15" hidden="false" customHeight="false" outlineLevel="0" collapsed="false"/>
    <row r="621" customFormat="false" ht="15" hidden="false" customHeight="false" outlineLevel="0" collapsed="false"/>
    <row r="622" customFormat="false" ht="15" hidden="false" customHeight="false" outlineLevel="0" collapsed="false"/>
    <row r="623" customFormat="false" ht="15" hidden="false" customHeight="false" outlineLevel="0" collapsed="false"/>
    <row r="624" customFormat="false" ht="15" hidden="false" customHeight="false" outlineLevel="0" collapsed="false"/>
    <row r="625" customFormat="false" ht="15" hidden="false" customHeight="false" outlineLevel="0" collapsed="false"/>
    <row r="626" customFormat="false" ht="15" hidden="false" customHeight="false" outlineLevel="0" collapsed="false"/>
    <row r="627" customFormat="false" ht="15" hidden="false" customHeight="false" outlineLevel="0" collapsed="false"/>
    <row r="628" customFormat="false" ht="15" hidden="false" customHeight="false" outlineLevel="0" collapsed="false"/>
    <row r="629" customFormat="false" ht="15" hidden="false" customHeight="false" outlineLevel="0" collapsed="false"/>
    <row r="630" customFormat="false" ht="15" hidden="false" customHeight="false" outlineLevel="0" collapsed="false"/>
    <row r="631" customFormat="false" ht="15" hidden="false" customHeight="false" outlineLevel="0" collapsed="false"/>
    <row r="632" customFormat="false" ht="15" hidden="false" customHeight="false" outlineLevel="0" collapsed="false"/>
    <row r="633" customFormat="false" ht="15" hidden="false" customHeight="false" outlineLevel="0" collapsed="false"/>
    <row r="634" customFormat="false" ht="15" hidden="false" customHeight="false" outlineLevel="0" collapsed="false"/>
    <row r="635" customFormat="false" ht="15" hidden="false" customHeight="false" outlineLevel="0" collapsed="false"/>
    <row r="636" customFormat="false" ht="15" hidden="false" customHeight="false" outlineLevel="0" collapsed="false"/>
    <row r="637" customFormat="false" ht="15" hidden="false" customHeight="false" outlineLevel="0" collapsed="false"/>
    <row r="638" customFormat="false" ht="15" hidden="false" customHeight="false" outlineLevel="0" collapsed="false"/>
    <row r="639" customFormat="false" ht="15" hidden="false" customHeight="false" outlineLevel="0" collapsed="false"/>
    <row r="640" customFormat="false" ht="15" hidden="false" customHeight="false" outlineLevel="0" collapsed="false"/>
    <row r="641" customFormat="false" ht="15" hidden="false" customHeight="false" outlineLevel="0" collapsed="false"/>
    <row r="642" customFormat="false" ht="15" hidden="false" customHeight="false" outlineLevel="0" collapsed="false"/>
    <row r="643" customFormat="false" ht="15" hidden="false" customHeight="false" outlineLevel="0" collapsed="false"/>
    <row r="644" customFormat="false" ht="15" hidden="false" customHeight="false" outlineLevel="0" collapsed="false"/>
    <row r="645" customFormat="false" ht="15" hidden="false" customHeight="false" outlineLevel="0" collapsed="false"/>
    <row r="646" customFormat="false" ht="15" hidden="false" customHeight="false" outlineLevel="0" collapsed="false"/>
    <row r="647" customFormat="false" ht="15" hidden="false" customHeight="false" outlineLevel="0" collapsed="false"/>
    <row r="648" customFormat="false" ht="15" hidden="false" customHeight="false" outlineLevel="0" collapsed="false"/>
    <row r="649" customFormat="false" ht="15" hidden="false" customHeight="false" outlineLevel="0" collapsed="false"/>
    <row r="650" customFormat="false" ht="15" hidden="false" customHeight="false" outlineLevel="0" collapsed="false"/>
    <row r="651" customFormat="false" ht="15" hidden="false" customHeight="false" outlineLevel="0" collapsed="false"/>
    <row r="652" customFormat="false" ht="15" hidden="false" customHeight="false" outlineLevel="0" collapsed="false"/>
    <row r="653" customFormat="false" ht="15" hidden="false" customHeight="false" outlineLevel="0" collapsed="false"/>
    <row r="654" customFormat="false" ht="15" hidden="false" customHeight="false" outlineLevel="0" collapsed="false"/>
    <row r="655" customFormat="false" ht="15" hidden="false" customHeight="false" outlineLevel="0" collapsed="false"/>
    <row r="656" customFormat="false" ht="15" hidden="false" customHeight="false" outlineLevel="0" collapsed="false"/>
    <row r="657" customFormat="false" ht="15" hidden="false" customHeight="false" outlineLevel="0" collapsed="false"/>
    <row r="658" customFormat="false" ht="15" hidden="false" customHeight="false" outlineLevel="0" collapsed="false"/>
    <row r="659" customFormat="false" ht="15" hidden="false" customHeight="false" outlineLevel="0" collapsed="false"/>
    <row r="660" customFormat="false" ht="15" hidden="false" customHeight="false" outlineLevel="0" collapsed="false"/>
    <row r="661" customFormat="false" ht="15" hidden="false" customHeight="false" outlineLevel="0" collapsed="false"/>
    <row r="662" customFormat="false" ht="15" hidden="false" customHeight="false" outlineLevel="0" collapsed="false"/>
    <row r="663" customFormat="false" ht="15" hidden="false" customHeight="false" outlineLevel="0" collapsed="false"/>
    <row r="664" customFormat="false" ht="15" hidden="false" customHeight="false" outlineLevel="0" collapsed="false"/>
    <row r="665" customFormat="false" ht="15" hidden="false" customHeight="false" outlineLevel="0" collapsed="false"/>
    <row r="666" customFormat="false" ht="15" hidden="false" customHeight="false" outlineLevel="0" collapsed="false"/>
    <row r="667" customFormat="false" ht="15" hidden="false" customHeight="false" outlineLevel="0" collapsed="false"/>
    <row r="668" customFormat="false" ht="15" hidden="false" customHeight="false" outlineLevel="0" collapsed="false"/>
    <row r="669" customFormat="false" ht="15" hidden="false" customHeight="false" outlineLevel="0" collapsed="false"/>
    <row r="670" customFormat="false" ht="15" hidden="false" customHeight="false" outlineLevel="0" collapsed="false"/>
    <row r="671" customFormat="false" ht="15" hidden="false" customHeight="false" outlineLevel="0" collapsed="false"/>
    <row r="672" customFormat="false" ht="15" hidden="false" customHeight="false" outlineLevel="0" collapsed="false"/>
    <row r="673" customFormat="false" ht="15" hidden="false" customHeight="false" outlineLevel="0" collapsed="false"/>
    <row r="674" customFormat="false" ht="15" hidden="false" customHeight="false" outlineLevel="0" collapsed="false"/>
    <row r="675" customFormat="false" ht="15" hidden="false" customHeight="false" outlineLevel="0" collapsed="false"/>
    <row r="676" customFormat="false" ht="15" hidden="false" customHeight="false" outlineLevel="0" collapsed="false"/>
    <row r="677" customFormat="false" ht="15" hidden="false" customHeight="false" outlineLevel="0" collapsed="false"/>
    <row r="678" customFormat="false" ht="15" hidden="false" customHeight="false" outlineLevel="0" collapsed="false"/>
    <row r="679" customFormat="false" ht="15" hidden="false" customHeight="false" outlineLevel="0" collapsed="false"/>
    <row r="680" customFormat="false" ht="15" hidden="false" customHeight="false" outlineLevel="0" collapsed="false"/>
    <row r="681" customFormat="false" ht="15" hidden="false" customHeight="false" outlineLevel="0" collapsed="false"/>
    <row r="682" customFormat="false" ht="15" hidden="false" customHeight="false" outlineLevel="0" collapsed="false"/>
    <row r="683" customFormat="false" ht="15" hidden="false" customHeight="false" outlineLevel="0" collapsed="false"/>
    <row r="684" customFormat="false" ht="15" hidden="false" customHeight="false" outlineLevel="0" collapsed="false"/>
    <row r="685" customFormat="false" ht="15" hidden="false" customHeight="false" outlineLevel="0" collapsed="false"/>
    <row r="686" customFormat="false" ht="15" hidden="false" customHeight="false" outlineLevel="0" collapsed="false"/>
    <row r="687" customFormat="false" ht="15" hidden="false" customHeight="false" outlineLevel="0" collapsed="false"/>
    <row r="688" customFormat="false" ht="15" hidden="false" customHeight="false" outlineLevel="0" collapsed="false"/>
    <row r="689" customFormat="false" ht="15" hidden="false" customHeight="false" outlineLevel="0" collapsed="false"/>
    <row r="690" customFormat="false" ht="15" hidden="false" customHeight="false" outlineLevel="0" collapsed="false"/>
    <row r="691" customFormat="false" ht="15" hidden="false" customHeight="false" outlineLevel="0" collapsed="false"/>
    <row r="692" customFormat="false" ht="15" hidden="false" customHeight="false" outlineLevel="0" collapsed="false"/>
    <row r="693" customFormat="false" ht="15" hidden="false" customHeight="false" outlineLevel="0" collapsed="false"/>
    <row r="694" customFormat="false" ht="15" hidden="false" customHeight="false" outlineLevel="0" collapsed="false"/>
    <row r="695" customFormat="false" ht="15" hidden="false" customHeight="false" outlineLevel="0" collapsed="false"/>
    <row r="696" customFormat="false" ht="15" hidden="false" customHeight="false" outlineLevel="0" collapsed="false"/>
    <row r="697" customFormat="false" ht="15" hidden="false" customHeight="false" outlineLevel="0" collapsed="false"/>
    <row r="698" customFormat="false" ht="15" hidden="false" customHeight="false" outlineLevel="0" collapsed="false"/>
    <row r="699" customFormat="false" ht="15" hidden="false" customHeight="false" outlineLevel="0" collapsed="false"/>
    <row r="700" customFormat="false" ht="15" hidden="false" customHeight="false" outlineLevel="0" collapsed="false"/>
    <row r="701" customFormat="false" ht="15" hidden="false" customHeight="false" outlineLevel="0" collapsed="false"/>
    <row r="702" customFormat="false" ht="15" hidden="false" customHeight="false" outlineLevel="0" collapsed="false"/>
    <row r="703" customFormat="false" ht="15" hidden="false" customHeight="false" outlineLevel="0" collapsed="false"/>
    <row r="704" customFormat="false" ht="15" hidden="false" customHeight="false" outlineLevel="0" collapsed="false"/>
    <row r="705" customFormat="false" ht="15" hidden="false" customHeight="false" outlineLevel="0" collapsed="false"/>
    <row r="706" customFormat="false" ht="15" hidden="false" customHeight="false" outlineLevel="0" collapsed="false"/>
    <row r="707" customFormat="false" ht="15" hidden="false" customHeight="false" outlineLevel="0" collapsed="false"/>
    <row r="708" customFormat="false" ht="15" hidden="false" customHeight="false" outlineLevel="0" collapsed="false"/>
    <row r="709" customFormat="false" ht="15" hidden="false" customHeight="false" outlineLevel="0" collapsed="false"/>
    <row r="710" customFormat="false" ht="15" hidden="false" customHeight="false" outlineLevel="0" collapsed="false"/>
    <row r="711" customFormat="false" ht="15" hidden="false" customHeight="false" outlineLevel="0" collapsed="false"/>
    <row r="712" customFormat="false" ht="15" hidden="false" customHeight="false" outlineLevel="0" collapsed="false"/>
    <row r="713" customFormat="false" ht="15" hidden="false" customHeight="false" outlineLevel="0" collapsed="false"/>
    <row r="714" customFormat="false" ht="15" hidden="false" customHeight="false" outlineLevel="0" collapsed="false"/>
    <row r="715" customFormat="false" ht="15" hidden="false" customHeight="false" outlineLevel="0" collapsed="false"/>
    <row r="716" customFormat="false" ht="15" hidden="false" customHeight="false" outlineLevel="0" collapsed="false"/>
    <row r="717" customFormat="false" ht="15" hidden="false" customHeight="false" outlineLevel="0" collapsed="false"/>
    <row r="718" customFormat="false" ht="15" hidden="false" customHeight="false" outlineLevel="0" collapsed="false"/>
    <row r="719" customFormat="false" ht="15" hidden="false" customHeight="false" outlineLevel="0" collapsed="false"/>
    <row r="720" customFormat="false" ht="15" hidden="false" customHeight="false" outlineLevel="0" collapsed="false"/>
    <row r="721" customFormat="false" ht="15" hidden="false" customHeight="false" outlineLevel="0" collapsed="false"/>
    <row r="722" customFormat="false" ht="15" hidden="false" customHeight="false" outlineLevel="0" collapsed="false"/>
    <row r="723" customFormat="false" ht="15" hidden="false" customHeight="false" outlineLevel="0" collapsed="false"/>
    <row r="724" customFormat="false" ht="15" hidden="false" customHeight="false" outlineLevel="0" collapsed="false"/>
    <row r="725" customFormat="false" ht="15" hidden="false" customHeight="false" outlineLevel="0" collapsed="false"/>
    <row r="726" customFormat="false" ht="15" hidden="false" customHeight="false" outlineLevel="0" collapsed="false"/>
    <row r="727" customFormat="false" ht="15" hidden="false" customHeight="false" outlineLevel="0" collapsed="false"/>
    <row r="728" customFormat="false" ht="15" hidden="false" customHeight="false" outlineLevel="0" collapsed="false"/>
    <row r="729" customFormat="false" ht="15" hidden="false" customHeight="false" outlineLevel="0" collapsed="false"/>
    <row r="730" customFormat="false" ht="15" hidden="false" customHeight="false" outlineLevel="0" collapsed="false"/>
    <row r="731" customFormat="false" ht="15" hidden="false" customHeight="false" outlineLevel="0" collapsed="false"/>
    <row r="732" customFormat="false" ht="15" hidden="false" customHeight="false" outlineLevel="0" collapsed="false"/>
    <row r="733" customFormat="false" ht="15" hidden="false" customHeight="false" outlineLevel="0" collapsed="false"/>
    <row r="734" customFormat="false" ht="15" hidden="false" customHeight="false" outlineLevel="0" collapsed="false"/>
    <row r="735" customFormat="false" ht="15" hidden="false" customHeight="false" outlineLevel="0" collapsed="false"/>
    <row r="736" customFormat="false" ht="15" hidden="false" customHeight="false" outlineLevel="0" collapsed="false"/>
    <row r="737" customFormat="false" ht="15" hidden="false" customHeight="false" outlineLevel="0" collapsed="false"/>
    <row r="738" customFormat="false" ht="15" hidden="false" customHeight="false" outlineLevel="0" collapsed="false"/>
    <row r="739" customFormat="false" ht="15" hidden="false" customHeight="false" outlineLevel="0" collapsed="false"/>
    <row r="740" customFormat="false" ht="15" hidden="false" customHeight="false" outlineLevel="0" collapsed="false"/>
    <row r="741" customFormat="false" ht="15" hidden="false" customHeight="false" outlineLevel="0" collapsed="false"/>
    <row r="742" customFormat="false" ht="15" hidden="false" customHeight="false" outlineLevel="0" collapsed="false"/>
    <row r="743" customFormat="false" ht="15" hidden="false" customHeight="false" outlineLevel="0" collapsed="false"/>
    <row r="744" customFormat="false" ht="15" hidden="false" customHeight="false" outlineLevel="0" collapsed="false"/>
    <row r="745" customFormat="false" ht="15" hidden="false" customHeight="false" outlineLevel="0" collapsed="false"/>
    <row r="746" customFormat="false" ht="15" hidden="false" customHeight="false" outlineLevel="0" collapsed="false"/>
    <row r="747" customFormat="false" ht="15" hidden="false" customHeight="false" outlineLevel="0" collapsed="false"/>
    <row r="748" customFormat="false" ht="15" hidden="false" customHeight="false" outlineLevel="0" collapsed="false"/>
    <row r="749" customFormat="false" ht="15" hidden="false" customHeight="false" outlineLevel="0" collapsed="false"/>
    <row r="750" customFormat="false" ht="15" hidden="false" customHeight="false" outlineLevel="0" collapsed="false"/>
    <row r="751" customFormat="false" ht="15" hidden="false" customHeight="false" outlineLevel="0" collapsed="false"/>
    <row r="752" customFormat="false" ht="15" hidden="false" customHeight="false" outlineLevel="0" collapsed="false"/>
    <row r="753" customFormat="false" ht="15" hidden="false" customHeight="false" outlineLevel="0" collapsed="false"/>
    <row r="754" customFormat="false" ht="15" hidden="false" customHeight="false" outlineLevel="0" collapsed="false"/>
    <row r="755" customFormat="false" ht="15" hidden="false" customHeight="false" outlineLevel="0" collapsed="false"/>
    <row r="756" customFormat="false" ht="15" hidden="false" customHeight="false" outlineLevel="0" collapsed="false"/>
    <row r="757" customFormat="false" ht="15" hidden="false" customHeight="false" outlineLevel="0" collapsed="false"/>
    <row r="758" customFormat="false" ht="15" hidden="false" customHeight="false" outlineLevel="0" collapsed="false"/>
    <row r="759" customFormat="false" ht="15" hidden="false" customHeight="false" outlineLevel="0" collapsed="false"/>
    <row r="760" customFormat="false" ht="15" hidden="false" customHeight="false" outlineLevel="0" collapsed="false"/>
    <row r="761" customFormat="false" ht="15" hidden="false" customHeight="false" outlineLevel="0" collapsed="false"/>
    <row r="762" customFormat="false" ht="15" hidden="false" customHeight="false" outlineLevel="0" collapsed="false"/>
    <row r="763" customFormat="false" ht="15" hidden="false" customHeight="false" outlineLevel="0" collapsed="false"/>
    <row r="764" customFormat="false" ht="15" hidden="false" customHeight="false" outlineLevel="0" collapsed="false"/>
    <row r="765" customFormat="false" ht="15" hidden="false" customHeight="false" outlineLevel="0" collapsed="false"/>
    <row r="766" customFormat="false" ht="15" hidden="false" customHeight="false" outlineLevel="0" collapsed="false"/>
    <row r="767" customFormat="false" ht="15" hidden="false" customHeight="false" outlineLevel="0" collapsed="false"/>
    <row r="768" customFormat="false" ht="15" hidden="false" customHeight="false" outlineLevel="0" collapsed="false"/>
    <row r="769" customFormat="false" ht="15" hidden="false" customHeight="false" outlineLevel="0" collapsed="false"/>
    <row r="770" customFormat="false" ht="15" hidden="false" customHeight="false" outlineLevel="0" collapsed="false"/>
    <row r="771" customFormat="false" ht="15" hidden="false" customHeight="false" outlineLevel="0" collapsed="false"/>
    <row r="772" customFormat="false" ht="15" hidden="false" customHeight="false" outlineLevel="0" collapsed="false"/>
    <row r="773" customFormat="false" ht="15" hidden="false" customHeight="false" outlineLevel="0" collapsed="false"/>
    <row r="774" customFormat="false" ht="15" hidden="false" customHeight="false" outlineLevel="0" collapsed="false"/>
    <row r="775" customFormat="false" ht="15" hidden="false" customHeight="false" outlineLevel="0" collapsed="false"/>
    <row r="776" customFormat="false" ht="15" hidden="false" customHeight="false" outlineLevel="0" collapsed="false"/>
    <row r="777" customFormat="false" ht="15" hidden="false" customHeight="false" outlineLevel="0" collapsed="false"/>
    <row r="778" customFormat="false" ht="15" hidden="false" customHeight="false" outlineLevel="0" collapsed="false"/>
    <row r="779" customFormat="false" ht="15" hidden="false" customHeight="false" outlineLevel="0" collapsed="false"/>
    <row r="780" customFormat="false" ht="15" hidden="false" customHeight="false" outlineLevel="0" collapsed="false"/>
    <row r="781" customFormat="false" ht="15" hidden="false" customHeight="false" outlineLevel="0" collapsed="false"/>
    <row r="782" customFormat="false" ht="15" hidden="false" customHeight="false" outlineLevel="0" collapsed="false"/>
    <row r="783" customFormat="false" ht="15" hidden="false" customHeight="false" outlineLevel="0" collapsed="false"/>
    <row r="784" customFormat="false" ht="15" hidden="false" customHeight="false" outlineLevel="0" collapsed="false"/>
    <row r="785" customFormat="false" ht="15" hidden="false" customHeight="false" outlineLevel="0" collapsed="false"/>
    <row r="786" customFormat="false" ht="15" hidden="false" customHeight="false" outlineLevel="0" collapsed="false"/>
    <row r="787" customFormat="false" ht="15" hidden="false" customHeight="false" outlineLevel="0" collapsed="false"/>
    <row r="788" customFormat="false" ht="15" hidden="false" customHeight="false" outlineLevel="0" collapsed="false"/>
    <row r="789" customFormat="false" ht="15" hidden="false" customHeight="false" outlineLevel="0" collapsed="false"/>
    <row r="790" customFormat="false" ht="15" hidden="false" customHeight="false" outlineLevel="0" collapsed="false"/>
    <row r="791" customFormat="false" ht="15" hidden="false" customHeight="false" outlineLevel="0" collapsed="false"/>
    <row r="792" customFormat="false" ht="15" hidden="false" customHeight="false" outlineLevel="0" collapsed="false"/>
    <row r="793" customFormat="false" ht="15" hidden="false" customHeight="false" outlineLevel="0" collapsed="false"/>
    <row r="794" customFormat="false" ht="15" hidden="false" customHeight="false" outlineLevel="0" collapsed="false"/>
    <row r="795" customFormat="false" ht="15" hidden="false" customHeight="false" outlineLevel="0" collapsed="false"/>
    <row r="796" customFormat="false" ht="15" hidden="false" customHeight="false" outlineLevel="0" collapsed="false"/>
    <row r="797" customFormat="false" ht="15" hidden="false" customHeight="false" outlineLevel="0" collapsed="false"/>
    <row r="798" customFormat="false" ht="15" hidden="false" customHeight="false" outlineLevel="0" collapsed="false"/>
    <row r="799" customFormat="false" ht="15" hidden="false" customHeight="false" outlineLevel="0" collapsed="false"/>
    <row r="800" customFormat="false" ht="15" hidden="false" customHeight="false" outlineLevel="0" collapsed="false"/>
    <row r="801" customFormat="false" ht="15" hidden="false" customHeight="false" outlineLevel="0" collapsed="false"/>
    <row r="802" customFormat="false" ht="15" hidden="false" customHeight="false" outlineLevel="0" collapsed="false"/>
    <row r="803" customFormat="false" ht="15" hidden="false" customHeight="false" outlineLevel="0" collapsed="false"/>
    <row r="804" customFormat="false" ht="15" hidden="false" customHeight="false" outlineLevel="0" collapsed="false"/>
    <row r="805" customFormat="false" ht="15" hidden="false" customHeight="false" outlineLevel="0" collapsed="false"/>
    <row r="806" customFormat="false" ht="15" hidden="false" customHeight="false" outlineLevel="0" collapsed="false"/>
    <row r="807" customFormat="false" ht="15" hidden="false" customHeight="false" outlineLevel="0" collapsed="false"/>
    <row r="808" customFormat="false" ht="15" hidden="false" customHeight="false" outlineLevel="0" collapsed="false"/>
    <row r="809" customFormat="false" ht="15" hidden="false" customHeight="false" outlineLevel="0" collapsed="false"/>
    <row r="810" customFormat="false" ht="15" hidden="false" customHeight="false" outlineLevel="0" collapsed="false"/>
    <row r="811" customFormat="false" ht="15" hidden="false" customHeight="false" outlineLevel="0" collapsed="false"/>
    <row r="812" customFormat="false" ht="15" hidden="false" customHeight="false" outlineLevel="0" collapsed="false"/>
    <row r="813" customFormat="false" ht="15" hidden="false" customHeight="false" outlineLevel="0" collapsed="false"/>
    <row r="814" customFormat="false" ht="15" hidden="false" customHeight="false" outlineLevel="0" collapsed="false"/>
    <row r="815" customFormat="false" ht="15" hidden="false" customHeight="false" outlineLevel="0" collapsed="false"/>
    <row r="816" customFormat="false" ht="15" hidden="false" customHeight="false" outlineLevel="0" collapsed="false"/>
    <row r="817" customFormat="false" ht="15" hidden="false" customHeight="false" outlineLevel="0" collapsed="false"/>
    <row r="818" customFormat="false" ht="15" hidden="false" customHeight="false" outlineLevel="0" collapsed="false"/>
    <row r="819" customFormat="false" ht="15" hidden="false" customHeight="false" outlineLevel="0" collapsed="false"/>
    <row r="820" customFormat="false" ht="15" hidden="false" customHeight="false" outlineLevel="0" collapsed="false"/>
    <row r="821" customFormat="false" ht="15" hidden="false" customHeight="false" outlineLevel="0" collapsed="false"/>
    <row r="822" customFormat="false" ht="15" hidden="false" customHeight="false" outlineLevel="0" collapsed="false"/>
    <row r="823" customFormat="false" ht="15" hidden="false" customHeight="false" outlineLevel="0" collapsed="false"/>
    <row r="824" customFormat="false" ht="15" hidden="false" customHeight="false" outlineLevel="0" collapsed="false"/>
    <row r="825" customFormat="false" ht="15" hidden="false" customHeight="false" outlineLevel="0" collapsed="false"/>
    <row r="826" customFormat="false" ht="15" hidden="false" customHeight="false" outlineLevel="0" collapsed="false"/>
    <row r="827" customFormat="false" ht="15" hidden="false" customHeight="false" outlineLevel="0" collapsed="false"/>
    <row r="828" customFormat="false" ht="15" hidden="false" customHeight="false" outlineLevel="0" collapsed="false"/>
    <row r="829" customFormat="false" ht="15" hidden="false" customHeight="false" outlineLevel="0" collapsed="false"/>
    <row r="830" customFormat="false" ht="15" hidden="false" customHeight="false" outlineLevel="0" collapsed="false"/>
    <row r="831" customFormat="false" ht="15" hidden="false" customHeight="false" outlineLevel="0" collapsed="false"/>
    <row r="832" customFormat="false" ht="15" hidden="false" customHeight="false" outlineLevel="0" collapsed="false"/>
    <row r="833" customFormat="false" ht="15" hidden="false" customHeight="false" outlineLevel="0" collapsed="false"/>
    <row r="834" customFormat="false" ht="15" hidden="false" customHeight="false" outlineLevel="0" collapsed="false"/>
    <row r="835" customFormat="false" ht="15" hidden="false" customHeight="false" outlineLevel="0" collapsed="false"/>
    <row r="836" customFormat="false" ht="15" hidden="false" customHeight="false" outlineLevel="0" collapsed="false"/>
    <row r="837" customFormat="false" ht="15" hidden="false" customHeight="false" outlineLevel="0" collapsed="false"/>
    <row r="838" customFormat="false" ht="15" hidden="false" customHeight="false" outlineLevel="0" collapsed="false"/>
    <row r="839" customFormat="false" ht="15" hidden="false" customHeight="false" outlineLevel="0" collapsed="false"/>
    <row r="840" customFormat="false" ht="15" hidden="false" customHeight="false" outlineLevel="0" collapsed="false"/>
    <row r="841" customFormat="false" ht="15" hidden="false" customHeight="false" outlineLevel="0" collapsed="false"/>
    <row r="842" customFormat="false" ht="15" hidden="false" customHeight="false" outlineLevel="0" collapsed="false"/>
    <row r="843" customFormat="false" ht="15" hidden="false" customHeight="false" outlineLevel="0" collapsed="false"/>
    <row r="844" customFormat="false" ht="15" hidden="false" customHeight="false" outlineLevel="0" collapsed="false"/>
    <row r="845" customFormat="false" ht="15" hidden="false" customHeight="false" outlineLevel="0" collapsed="false"/>
    <row r="846" customFormat="false" ht="15" hidden="false" customHeight="false" outlineLevel="0" collapsed="false"/>
    <row r="847" customFormat="false" ht="15" hidden="false" customHeight="false" outlineLevel="0" collapsed="false"/>
    <row r="848" customFormat="false" ht="15" hidden="false" customHeight="false" outlineLevel="0" collapsed="false"/>
    <row r="849" customFormat="false" ht="15" hidden="false" customHeight="false" outlineLevel="0" collapsed="false"/>
    <row r="850" customFormat="false" ht="15" hidden="false" customHeight="false" outlineLevel="0" collapsed="false"/>
    <row r="851" customFormat="false" ht="15" hidden="false" customHeight="false" outlineLevel="0" collapsed="false"/>
    <row r="852" customFormat="false" ht="15" hidden="false" customHeight="false" outlineLevel="0" collapsed="false"/>
    <row r="853" customFormat="false" ht="15" hidden="false" customHeight="false" outlineLevel="0" collapsed="false"/>
    <row r="854" customFormat="false" ht="15" hidden="false" customHeight="false" outlineLevel="0" collapsed="false"/>
    <row r="855" customFormat="false" ht="15" hidden="false" customHeight="false" outlineLevel="0" collapsed="false"/>
    <row r="856" customFormat="false" ht="15" hidden="false" customHeight="false" outlineLevel="0" collapsed="false"/>
    <row r="857" customFormat="false" ht="15" hidden="false" customHeight="false" outlineLevel="0" collapsed="false"/>
    <row r="858" customFormat="false" ht="15" hidden="false" customHeight="false" outlineLevel="0" collapsed="false"/>
    <row r="859" customFormat="false" ht="15" hidden="false" customHeight="false" outlineLevel="0" collapsed="false"/>
    <row r="860" customFormat="false" ht="15" hidden="false" customHeight="false" outlineLevel="0" collapsed="false"/>
    <row r="861" customFormat="false" ht="15" hidden="false" customHeight="false" outlineLevel="0" collapsed="false"/>
    <row r="862" customFormat="false" ht="15" hidden="false" customHeight="false" outlineLevel="0" collapsed="false"/>
    <row r="863" customFormat="false" ht="15" hidden="false" customHeight="false" outlineLevel="0" collapsed="false"/>
    <row r="864" customFormat="false" ht="15" hidden="false" customHeight="false" outlineLevel="0" collapsed="false"/>
    <row r="865" customFormat="false" ht="15" hidden="false" customHeight="false" outlineLevel="0" collapsed="false"/>
    <row r="866" customFormat="false" ht="15" hidden="false" customHeight="false" outlineLevel="0" collapsed="false"/>
    <row r="867" customFormat="false" ht="15" hidden="false" customHeight="false" outlineLevel="0" collapsed="false"/>
    <row r="868" customFormat="false" ht="15" hidden="false" customHeight="false" outlineLevel="0" collapsed="false"/>
    <row r="869" customFormat="false" ht="15" hidden="false" customHeight="false" outlineLevel="0" collapsed="false"/>
    <row r="870" customFormat="false" ht="15" hidden="false" customHeight="false" outlineLevel="0" collapsed="false"/>
    <row r="871" customFormat="false" ht="15" hidden="false" customHeight="false" outlineLevel="0" collapsed="false"/>
    <row r="872" customFormat="false" ht="15" hidden="false" customHeight="false" outlineLevel="0" collapsed="false"/>
    <row r="873" customFormat="false" ht="15" hidden="false" customHeight="false" outlineLevel="0" collapsed="false"/>
    <row r="874" customFormat="false" ht="15" hidden="false" customHeight="false" outlineLevel="0" collapsed="false"/>
    <row r="875" customFormat="false" ht="15" hidden="false" customHeight="false" outlineLevel="0" collapsed="false"/>
    <row r="876" customFormat="false" ht="15" hidden="false" customHeight="false" outlineLevel="0" collapsed="false"/>
    <row r="877" customFormat="false" ht="15" hidden="false" customHeight="false" outlineLevel="0" collapsed="false"/>
    <row r="878" customFormat="false" ht="15" hidden="false" customHeight="false" outlineLevel="0" collapsed="false"/>
    <row r="879" customFormat="false" ht="15" hidden="false" customHeight="false" outlineLevel="0" collapsed="false"/>
    <row r="880" customFormat="false" ht="15" hidden="false" customHeight="false" outlineLevel="0" collapsed="false"/>
    <row r="881" customFormat="false" ht="15" hidden="false" customHeight="false" outlineLevel="0" collapsed="false"/>
    <row r="882" customFormat="false" ht="15" hidden="false" customHeight="false" outlineLevel="0" collapsed="false"/>
    <row r="883" customFormat="false" ht="15" hidden="false" customHeight="false" outlineLevel="0" collapsed="false"/>
    <row r="884" customFormat="false" ht="15" hidden="false" customHeight="false" outlineLevel="0" collapsed="false"/>
    <row r="885" customFormat="false" ht="15" hidden="false" customHeight="false" outlineLevel="0" collapsed="false"/>
    <row r="886" customFormat="false" ht="15" hidden="false" customHeight="false" outlineLevel="0" collapsed="false"/>
    <row r="887" customFormat="false" ht="15" hidden="false" customHeight="false" outlineLevel="0" collapsed="false"/>
    <row r="888" customFormat="false" ht="15" hidden="false" customHeight="false" outlineLevel="0" collapsed="false"/>
    <row r="889" customFormat="false" ht="15" hidden="false" customHeight="false" outlineLevel="0" collapsed="false"/>
    <row r="890" customFormat="false" ht="15" hidden="false" customHeight="false" outlineLevel="0" collapsed="false"/>
    <row r="891" customFormat="false" ht="15" hidden="false" customHeight="false" outlineLevel="0" collapsed="false"/>
    <row r="892" customFormat="false" ht="15" hidden="false" customHeight="false" outlineLevel="0" collapsed="false"/>
    <row r="893" customFormat="false" ht="15" hidden="false" customHeight="false" outlineLevel="0" collapsed="false"/>
    <row r="894" customFormat="false" ht="15" hidden="false" customHeight="false" outlineLevel="0" collapsed="false"/>
    <row r="895" customFormat="false" ht="15" hidden="false" customHeight="false" outlineLevel="0" collapsed="false"/>
    <row r="896" customFormat="false" ht="15" hidden="false" customHeight="false" outlineLevel="0" collapsed="false"/>
    <row r="897" customFormat="false" ht="15" hidden="false" customHeight="false" outlineLevel="0" collapsed="false"/>
    <row r="898" customFormat="false" ht="15" hidden="false" customHeight="false" outlineLevel="0" collapsed="false"/>
    <row r="899" customFormat="false" ht="15" hidden="false" customHeight="false" outlineLevel="0" collapsed="false"/>
    <row r="900" customFormat="false" ht="15" hidden="false" customHeight="false" outlineLevel="0" collapsed="false"/>
    <row r="901" customFormat="false" ht="15" hidden="false" customHeight="false" outlineLevel="0" collapsed="false"/>
    <row r="902" customFormat="false" ht="15" hidden="false" customHeight="false" outlineLevel="0" collapsed="false"/>
    <row r="903" customFormat="false" ht="15" hidden="false" customHeight="false" outlineLevel="0" collapsed="false"/>
    <row r="904" customFormat="false" ht="15" hidden="false" customHeight="false" outlineLevel="0" collapsed="false"/>
    <row r="905" customFormat="false" ht="15" hidden="false" customHeight="false" outlineLevel="0" collapsed="false"/>
    <row r="906" customFormat="false" ht="15" hidden="false" customHeight="false" outlineLevel="0" collapsed="false"/>
    <row r="907" customFormat="false" ht="15" hidden="false" customHeight="false" outlineLevel="0" collapsed="false"/>
    <row r="908" customFormat="false" ht="15" hidden="false" customHeight="false" outlineLevel="0" collapsed="false"/>
    <row r="909" customFormat="false" ht="15" hidden="false" customHeight="false" outlineLevel="0" collapsed="false"/>
    <row r="910" customFormat="false" ht="15" hidden="false" customHeight="false" outlineLevel="0" collapsed="false"/>
    <row r="911" customFormat="false" ht="15" hidden="false" customHeight="false" outlineLevel="0" collapsed="false"/>
    <row r="912" customFormat="false" ht="15" hidden="false" customHeight="false" outlineLevel="0" collapsed="false"/>
    <row r="913" customFormat="false" ht="15" hidden="false" customHeight="false" outlineLevel="0" collapsed="false"/>
    <row r="914" customFormat="false" ht="15" hidden="false" customHeight="false" outlineLevel="0" collapsed="false"/>
    <row r="915" customFormat="false" ht="15" hidden="false" customHeight="false" outlineLevel="0" collapsed="false"/>
    <row r="916" customFormat="false" ht="15" hidden="false" customHeight="false" outlineLevel="0" collapsed="false"/>
    <row r="917" customFormat="false" ht="15" hidden="false" customHeight="false" outlineLevel="0" collapsed="false"/>
    <row r="918" customFormat="false" ht="15" hidden="false" customHeight="false" outlineLevel="0" collapsed="false"/>
    <row r="919" customFormat="false" ht="15" hidden="false" customHeight="false" outlineLevel="0" collapsed="false"/>
    <row r="920" customFormat="false" ht="15" hidden="false" customHeight="false" outlineLevel="0" collapsed="false"/>
    <row r="921" customFormat="false" ht="15" hidden="false" customHeight="false" outlineLevel="0" collapsed="false"/>
    <row r="922" customFormat="false" ht="15" hidden="false" customHeight="false" outlineLevel="0" collapsed="false"/>
    <row r="923" customFormat="false" ht="15" hidden="false" customHeight="false" outlineLevel="0" collapsed="false"/>
    <row r="924" customFormat="false" ht="15" hidden="false" customHeight="false" outlineLevel="0" collapsed="false"/>
    <row r="925" customFormat="false" ht="15" hidden="false" customHeight="false" outlineLevel="0" collapsed="false"/>
    <row r="926" customFormat="false" ht="15" hidden="false" customHeight="false" outlineLevel="0" collapsed="false"/>
    <row r="927" customFormat="false" ht="15" hidden="false" customHeight="false" outlineLevel="0" collapsed="false"/>
    <row r="928" customFormat="false" ht="15" hidden="false" customHeight="false" outlineLevel="0" collapsed="false"/>
    <row r="929" customFormat="false" ht="15" hidden="false" customHeight="false" outlineLevel="0" collapsed="false"/>
    <row r="930" customFormat="false" ht="15" hidden="false" customHeight="false" outlineLevel="0" collapsed="false"/>
    <row r="931" customFormat="false" ht="15" hidden="false" customHeight="false" outlineLevel="0" collapsed="false"/>
    <row r="932" customFormat="false" ht="15" hidden="false" customHeight="false" outlineLevel="0" collapsed="false"/>
    <row r="933" customFormat="false" ht="15" hidden="false" customHeight="false" outlineLevel="0" collapsed="false"/>
    <row r="934" customFormat="false" ht="15" hidden="false" customHeight="false" outlineLevel="0" collapsed="false"/>
    <row r="935" customFormat="false" ht="15" hidden="false" customHeight="false" outlineLevel="0" collapsed="false"/>
    <row r="936" customFormat="false" ht="15" hidden="false" customHeight="false" outlineLevel="0" collapsed="false"/>
    <row r="937" customFormat="false" ht="15" hidden="false" customHeight="false" outlineLevel="0" collapsed="false"/>
    <row r="938" customFormat="false" ht="15" hidden="false" customHeight="false" outlineLevel="0" collapsed="false"/>
    <row r="939" customFormat="false" ht="15" hidden="false" customHeight="false" outlineLevel="0" collapsed="false"/>
    <row r="940" customFormat="false" ht="15" hidden="false" customHeight="false" outlineLevel="0" collapsed="false"/>
    <row r="941" customFormat="false" ht="15" hidden="false" customHeight="false" outlineLevel="0" collapsed="false"/>
    <row r="942" customFormat="false" ht="15" hidden="false" customHeight="false" outlineLevel="0" collapsed="false"/>
    <row r="943" customFormat="false" ht="15" hidden="false" customHeight="false" outlineLevel="0" collapsed="false"/>
    <row r="944" customFormat="false" ht="15" hidden="false" customHeight="false" outlineLevel="0" collapsed="false"/>
    <row r="945" customFormat="false" ht="15" hidden="false" customHeight="false" outlineLevel="0" collapsed="false"/>
    <row r="946" customFormat="false" ht="15" hidden="false" customHeight="false" outlineLevel="0" collapsed="false"/>
    <row r="947" customFormat="false" ht="15" hidden="false" customHeight="false" outlineLevel="0" collapsed="false"/>
    <row r="948" customFormat="false" ht="15" hidden="false" customHeight="false" outlineLevel="0" collapsed="false"/>
    <row r="949" customFormat="false" ht="15" hidden="false" customHeight="false" outlineLevel="0" collapsed="false"/>
    <row r="950" customFormat="false" ht="15" hidden="false" customHeight="false" outlineLevel="0" collapsed="false"/>
    <row r="951" customFormat="false" ht="15" hidden="false" customHeight="false" outlineLevel="0" collapsed="false"/>
    <row r="952" customFormat="false" ht="15" hidden="false" customHeight="false" outlineLevel="0" collapsed="false"/>
    <row r="953" customFormat="false" ht="15" hidden="false" customHeight="false" outlineLevel="0" collapsed="false"/>
    <row r="954" customFormat="false" ht="15" hidden="false" customHeight="false" outlineLevel="0" collapsed="false"/>
    <row r="955" customFormat="false" ht="15" hidden="false" customHeight="false" outlineLevel="0" collapsed="false"/>
    <row r="956" customFormat="false" ht="15" hidden="false" customHeight="false" outlineLevel="0" collapsed="false"/>
    <row r="957" customFormat="false" ht="15" hidden="false" customHeight="false" outlineLevel="0" collapsed="false"/>
    <row r="958" customFormat="false" ht="15" hidden="false" customHeight="false" outlineLevel="0" collapsed="false"/>
    <row r="959" customFormat="false" ht="15" hidden="false" customHeight="false" outlineLevel="0" collapsed="false"/>
    <row r="960" customFormat="false" ht="15" hidden="false" customHeight="false" outlineLevel="0" collapsed="false"/>
    <row r="961" customFormat="false" ht="15" hidden="false" customHeight="false" outlineLevel="0" collapsed="false"/>
    <row r="962" customFormat="false" ht="15" hidden="false" customHeight="false" outlineLevel="0" collapsed="false"/>
    <row r="963" customFormat="false" ht="15" hidden="false" customHeight="false" outlineLevel="0" collapsed="false"/>
    <row r="964" customFormat="false" ht="15" hidden="false" customHeight="false" outlineLevel="0" collapsed="false"/>
    <row r="965" customFormat="false" ht="15" hidden="false" customHeight="false" outlineLevel="0" collapsed="false"/>
    <row r="966" customFormat="false" ht="15" hidden="false" customHeight="false" outlineLevel="0" collapsed="false"/>
    <row r="967" customFormat="false" ht="15" hidden="false" customHeight="false" outlineLevel="0" collapsed="false"/>
    <row r="968" customFormat="false" ht="15" hidden="false" customHeight="false" outlineLevel="0" collapsed="false"/>
    <row r="969" customFormat="false" ht="15" hidden="false" customHeight="false" outlineLevel="0" collapsed="false"/>
    <row r="970" customFormat="false" ht="15" hidden="false" customHeight="false" outlineLevel="0" collapsed="false"/>
    <row r="971" customFormat="false" ht="15" hidden="false" customHeight="false" outlineLevel="0" collapsed="false"/>
    <row r="972" customFormat="false" ht="15" hidden="false" customHeight="false" outlineLevel="0" collapsed="false"/>
    <row r="973" customFormat="false" ht="15" hidden="false" customHeight="false" outlineLevel="0" collapsed="false"/>
    <row r="974" customFormat="false" ht="15" hidden="false" customHeight="false" outlineLevel="0" collapsed="false"/>
    <row r="975" customFormat="false" ht="15" hidden="false" customHeight="false" outlineLevel="0" collapsed="false"/>
    <row r="976" customFormat="false" ht="15" hidden="false" customHeight="false" outlineLevel="0" collapsed="false"/>
    <row r="977" customFormat="false" ht="15" hidden="false" customHeight="false" outlineLevel="0" collapsed="false"/>
    <row r="978" customFormat="false" ht="15" hidden="false" customHeight="false" outlineLevel="0" collapsed="false"/>
    <row r="979" customFormat="false" ht="15" hidden="false" customHeight="false" outlineLevel="0" collapsed="false"/>
    <row r="980" customFormat="false" ht="15" hidden="false" customHeight="false" outlineLevel="0" collapsed="false"/>
    <row r="981" customFormat="false" ht="15" hidden="false" customHeight="false" outlineLevel="0" collapsed="false"/>
    <row r="982" customFormat="false" ht="15" hidden="false" customHeight="false" outlineLevel="0" collapsed="false"/>
    <row r="983" customFormat="false" ht="15" hidden="false" customHeight="false" outlineLevel="0" collapsed="false"/>
    <row r="984" customFormat="false" ht="15" hidden="false" customHeight="false" outlineLevel="0" collapsed="false"/>
    <row r="985" customFormat="false" ht="15" hidden="false" customHeight="false" outlineLevel="0" collapsed="false"/>
    <row r="986" customFormat="false" ht="15" hidden="false" customHeight="false" outlineLevel="0" collapsed="false"/>
    <row r="987" customFormat="false" ht="15" hidden="false" customHeight="false" outlineLevel="0" collapsed="false"/>
    <row r="988" customFormat="false" ht="15" hidden="false" customHeight="false" outlineLevel="0" collapsed="false"/>
    <row r="989" customFormat="false" ht="15" hidden="false" customHeight="false" outlineLevel="0" collapsed="false"/>
    <row r="990" customFormat="false" ht="15" hidden="false" customHeight="false" outlineLevel="0" collapsed="false"/>
    <row r="991" customFormat="false" ht="15" hidden="false" customHeight="false" outlineLevel="0" collapsed="false"/>
    <row r="992" customFormat="false" ht="15" hidden="false" customHeight="false" outlineLevel="0" collapsed="false"/>
    <row r="993" customFormat="false" ht="15" hidden="false" customHeight="false" outlineLevel="0" collapsed="false"/>
    <row r="994" customFormat="false" ht="15" hidden="false" customHeight="false" outlineLevel="0" collapsed="false"/>
    <row r="995" customFormat="false" ht="15" hidden="false" customHeight="false" outlineLevel="0" collapsed="false"/>
    <row r="996" customFormat="false" ht="15" hidden="false" customHeight="false" outlineLevel="0" collapsed="false"/>
    <row r="997" customFormat="false" ht="15" hidden="false" customHeight="false" outlineLevel="0" collapsed="false"/>
    <row r="998" customFormat="false" ht="15" hidden="false" customHeight="false" outlineLevel="0" collapsed="false"/>
    <row r="999" customFormat="false" ht="15" hidden="false" customHeight="false" outlineLevel="0" collapsed="false"/>
    <row r="1000" customFormat="false" ht="15" hidden="false" customHeight="false" outlineLevel="0" collapsed="false"/>
    <row r="1001" customFormat="false" ht="15" hidden="false" customHeight="false" outlineLevel="0" collapsed="false"/>
    <row r="1002" customFormat="false" ht="15" hidden="false" customHeight="false" outlineLevel="0" collapsed="false"/>
    <row r="1003" customFormat="false" ht="15" hidden="false" customHeight="false" outlineLevel="0" collapsed="false"/>
    <row r="1004" customFormat="false" ht="15" hidden="false" customHeight="false" outlineLevel="0" collapsed="false"/>
    <row r="1005" customFormat="false" ht="15" hidden="false" customHeight="false" outlineLevel="0" collapsed="false"/>
    <row r="1006" customFormat="false" ht="15" hidden="false" customHeight="false" outlineLevel="0" collapsed="false"/>
    <row r="1007" customFormat="false" ht="15" hidden="false" customHeight="false" outlineLevel="0" collapsed="false"/>
    <row r="1008" customFormat="false" ht="15" hidden="false" customHeight="false" outlineLevel="0" collapsed="false"/>
    <row r="1009" customFormat="false" ht="15" hidden="false" customHeight="false" outlineLevel="0" collapsed="false"/>
    <row r="1010" customFormat="false" ht="15" hidden="false" customHeight="false" outlineLevel="0" collapsed="false"/>
    <row r="1011" customFormat="false" ht="15" hidden="false" customHeight="false" outlineLevel="0" collapsed="false"/>
    <row r="1012" customFormat="false" ht="15" hidden="false" customHeight="false" outlineLevel="0" collapsed="false"/>
    <row r="1013" customFormat="false" ht="15" hidden="false" customHeight="false" outlineLevel="0" collapsed="false"/>
    <row r="1014" customFormat="false" ht="15" hidden="false" customHeight="false" outlineLevel="0" collapsed="false"/>
    <row r="1015" customFormat="false" ht="15" hidden="false" customHeight="false" outlineLevel="0" collapsed="false"/>
    <row r="1016" customFormat="false" ht="15" hidden="false" customHeight="false" outlineLevel="0" collapsed="false"/>
    <row r="1017" customFormat="false" ht="15" hidden="false" customHeight="false" outlineLevel="0" collapsed="false"/>
    <row r="1018" customFormat="false" ht="15" hidden="false" customHeight="false" outlineLevel="0" collapsed="false"/>
    <row r="1019" customFormat="false" ht="15" hidden="false" customHeight="false" outlineLevel="0" collapsed="false"/>
    <row r="1020" customFormat="false" ht="15" hidden="false" customHeight="false" outlineLevel="0" collapsed="false"/>
    <row r="1021" customFormat="false" ht="15" hidden="false" customHeight="false" outlineLevel="0" collapsed="false"/>
    <row r="1022" customFormat="false" ht="15" hidden="false" customHeight="false" outlineLevel="0" collapsed="false"/>
    <row r="1023" customFormat="false" ht="15" hidden="false" customHeight="false" outlineLevel="0" collapsed="false"/>
    <row r="1024" customFormat="false" ht="15" hidden="false" customHeight="false" outlineLevel="0" collapsed="false"/>
    <row r="1025" customFormat="false" ht="15" hidden="false" customHeight="false" outlineLevel="0" collapsed="false"/>
    <row r="1026" customFormat="false" ht="15" hidden="false" customHeight="false" outlineLevel="0" collapsed="false"/>
    <row r="1027" customFormat="false" ht="15" hidden="false" customHeight="false" outlineLevel="0" collapsed="false"/>
    <row r="1028" customFormat="false" ht="15" hidden="false" customHeight="false" outlineLevel="0" collapsed="false"/>
    <row r="1029" customFormat="false" ht="15" hidden="false" customHeight="false" outlineLevel="0" collapsed="false"/>
    <row r="1030" customFormat="false" ht="15" hidden="false" customHeight="false" outlineLevel="0" collapsed="false"/>
    <row r="1031" customFormat="false" ht="15" hidden="false" customHeight="false" outlineLevel="0" collapsed="false"/>
    <row r="1032" customFormat="false" ht="15" hidden="false" customHeight="false" outlineLevel="0" collapsed="false"/>
    <row r="1033" customFormat="false" ht="15" hidden="false" customHeight="false" outlineLevel="0" collapsed="false"/>
    <row r="1034" customFormat="false" ht="15" hidden="false" customHeight="false" outlineLevel="0" collapsed="false"/>
    <row r="1035" customFormat="false" ht="15" hidden="false" customHeight="false" outlineLevel="0" collapsed="false"/>
    <row r="1036" customFormat="false" ht="15" hidden="false" customHeight="false" outlineLevel="0" collapsed="false"/>
    <row r="1037" customFormat="false" ht="15" hidden="false" customHeight="false" outlineLevel="0" collapsed="false"/>
    <row r="1038" customFormat="false" ht="15" hidden="false" customHeight="false" outlineLevel="0" collapsed="false"/>
    <row r="1039" customFormat="false" ht="15" hidden="false" customHeight="false" outlineLevel="0" collapsed="false"/>
    <row r="1040" customFormat="false" ht="15" hidden="false" customHeight="false" outlineLevel="0" collapsed="false"/>
    <row r="1041" customFormat="false" ht="15" hidden="false" customHeight="false" outlineLevel="0" collapsed="false"/>
    <row r="1042" customFormat="false" ht="15" hidden="false" customHeight="false" outlineLevel="0" collapsed="false"/>
    <row r="1043" customFormat="false" ht="15" hidden="false" customHeight="false" outlineLevel="0" collapsed="false"/>
    <row r="1044" customFormat="false" ht="15" hidden="false" customHeight="false" outlineLevel="0" collapsed="false"/>
    <row r="1045" customFormat="false" ht="15" hidden="false" customHeight="false" outlineLevel="0" collapsed="false"/>
    <row r="1046" customFormat="false" ht="15" hidden="false" customHeight="false" outlineLevel="0" collapsed="false"/>
  </sheetData>
  <mergeCells count="47">
    <mergeCell ref="A1:F1"/>
    <mergeCell ref="A2:F2"/>
    <mergeCell ref="A10:F10"/>
    <mergeCell ref="A14:E14"/>
    <mergeCell ref="A15:F15"/>
    <mergeCell ref="A17:F17"/>
    <mergeCell ref="A18:F18"/>
    <mergeCell ref="A106:E106"/>
    <mergeCell ref="A107:F107"/>
    <mergeCell ref="G107:L107"/>
    <mergeCell ref="M107:R107"/>
    <mergeCell ref="S107:X107"/>
    <mergeCell ref="A108:F108"/>
    <mergeCell ref="G108:L108"/>
    <mergeCell ref="M108:R108"/>
    <mergeCell ref="S108:X108"/>
    <mergeCell ref="A110:F110"/>
    <mergeCell ref="A115:E115"/>
    <mergeCell ref="A117:F117"/>
    <mergeCell ref="A128:E128"/>
    <mergeCell ref="A129:F129"/>
    <mergeCell ref="A131:F131"/>
    <mergeCell ref="A138:E138"/>
    <mergeCell ref="A140:F140"/>
    <mergeCell ref="A145:E145"/>
    <mergeCell ref="A146:F146"/>
    <mergeCell ref="A148:F148"/>
    <mergeCell ref="A153:E153"/>
    <mergeCell ref="A155:F155"/>
    <mergeCell ref="A162:E162"/>
    <mergeCell ref="A163:F163"/>
    <mergeCell ref="A165:F165"/>
    <mergeCell ref="A168:E168"/>
    <mergeCell ref="A169:F169"/>
    <mergeCell ref="A171:F171"/>
    <mergeCell ref="A178:E178"/>
    <mergeCell ref="A179:F179"/>
    <mergeCell ref="A181:F181"/>
    <mergeCell ref="A182:F182"/>
    <mergeCell ref="A183:F183"/>
    <mergeCell ref="A184:F184"/>
    <mergeCell ref="A185:F185"/>
    <mergeCell ref="A186:F186"/>
    <mergeCell ref="A187:F187"/>
    <mergeCell ref="A188:F188"/>
    <mergeCell ref="A189:F189"/>
    <mergeCell ref="A190:F19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2026-09-28T11:47:44Z</dcterms:created>
  <dc:creator>openpyxl</dc:creator>
  <dc:description/>
  <dc:language>en-US</dc:language>
  <cp:lastModifiedBy/>
  <dcterms:modified xsi:type="dcterms:W3CDTF">2026-09-28T11:48:24Z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