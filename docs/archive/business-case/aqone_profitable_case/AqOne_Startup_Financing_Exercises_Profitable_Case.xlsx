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178fb4ae1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-operating" sheetId="4" r:id="Rd537dd05077c4655"/>
    <x:sheet xmlns:r="http://schemas.openxmlformats.org/officeDocument/2006/relationships" name="iS" sheetId="2" r:id="R4cdf45b420e04e07"/>
    <x:sheet xmlns:r="http://schemas.openxmlformats.org/officeDocument/2006/relationships" name="BEP" sheetId="3" r:id="R477a6ccb7b904d91"/>
    <x:sheet xmlns:r="http://schemas.openxmlformats.org/officeDocument/2006/relationships" name="CF" sheetId="5" r:id="R7c7c12d3868346e0"/>
  </x:sheets>
</x:workbook>
</file>

<file path=xl/sharedStrings.xml><?xml version="1.0" encoding="utf-8"?>
<x:sst xmlns:x="http://schemas.openxmlformats.org/spreadsheetml/2006/main">
  <x:si>
    <x:t xml:space="preserve">name :</x:t>
  </x:si>
  <x:si>
    <x:t xml:space="preserve">exercise 1</x:t>
  </x:si>
  <x:si>
    <x:t xml:space="preserve">Pre-operating Capital Requirements</x:t>
  </x:si>
  <x:si>
    <x:t xml:space="preserve">Cost of Goods</x:t>
  </x:si>
  <x:si>
    <x:t xml:space="preserve">Purchases / Raw Materials</x:t>
  </x:si>
  <x:si>
    <x:t xml:space="preserve">Freight-In</x:t>
  </x:si>
  <x:si>
    <x:t xml:space="preserve">Direct Labor</x:t>
  </x:si>
  <x:si>
    <x:t xml:space="preserve">Direct Expenses</x:t>
  </x:si>
  <x:si>
    <x:t xml:space="preserve">Administrative &amp; Operating Expenses</x:t>
  </x:si>
  <x:si>
    <x:t xml:space="preserve">Salaries &amp; Wages</x:t>
  </x:si>
  <x:si>
    <x:t xml:space="preserve">Fringe Benefits </x:t>
  </x:si>
  <x:si>
    <x:t xml:space="preserve">SSS, Philhealth, Pag-ibig</x:t>
  </x:si>
  <x:si>
    <x:t xml:space="preserve">Light (power/electricity)</x:t>
  </x:si>
  <x:si>
    <x:t xml:space="preserve">Water</x:t>
  </x:si>
  <x:si>
    <x:t xml:space="preserve">Communications</x:t>
  </x:si>
  <x:si>
    <x:t xml:space="preserve">Rent</x:t>
  </x:si>
  <x:si>
    <x:t xml:space="preserve">Office Supplies</x:t>
  </x:si>
  <x:si>
    <x:t xml:space="preserve">Repairs &amp; Maintenance </x:t>
  </x:si>
  <x:si>
    <x:t xml:space="preserve">Insurance</x:t>
  </x:si>
  <x:si>
    <x:t xml:space="preserve">Taxes &amp; Licenses</x:t>
  </x:si>
  <x:si>
    <x:t xml:space="preserve">Fuel &amp; Oil </x:t>
  </x:si>
  <x:si>
    <x:t xml:space="preserve">Delivery Expense</x:t>
  </x:si>
  <x:si>
    <x:t xml:space="preserve">Travel &amp; Transportation</x:t>
  </x:si>
  <x:si>
    <x:t xml:space="preserve">Advertising</x:t>
  </x:si>
  <x:si>
    <x:t xml:space="preserve">Professional Fees</x:t>
  </x:si>
  <x:si>
    <x:t xml:space="preserve">Services (Janitorial &amp; Security) </x:t>
  </x:si>
  <x:si>
    <x:t xml:space="preserve">Miscellaneous</x:t>
  </x:si>
  <x:si>
    <x:t xml:space="preserve">total</x:t>
  </x:si>
  <x:si>
    <x:t xml:space="preserve">Php</x:t>
  </x:si>
  <x:si>
    <x:t xml:space="preserve">multiply by number of months </x:t>
  </x:si>
  <x:si>
    <x:t xml:space="preserve">Assets</x:t>
  </x:si>
  <x:si>
    <x:t xml:space="preserve">Land</x:t>
  </x:si>
  <x:si>
    <x:t xml:space="preserve">Building &amp; Bldg. Improvements</x:t>
  </x:si>
  <x:si>
    <x:t xml:space="preserve">Tools &amp; Equipments</x:t>
  </x:si>
  <x:si>
    <x:t xml:space="preserve">Delivery Vehicle</x:t>
  </x:si>
  <x:si>
    <x:t xml:space="preserve">Office Appliances &amp; Furnitures</x:t>
  </x:si>
  <x:si>
    <x:t xml:space="preserve">exercise 2</x:t>
  </x:si>
  <x:si>
    <x:t xml:space="preserve">Statement of Financial Performance</x:t>
  </x:si>
  <x:si>
    <x:t xml:space="preserve">For the Period Ended                      , 2026</x:t>
  </x:si>
  <x:si>
    <x:t xml:space="preserve">Profit Margin</x:t>
  </x:si>
  <x:si>
    <x:t xml:space="preserve">SALES / REVENUE</x:t>
  </x:si>
  <x:si>
    <x:t xml:space="preserve">Less: Cost of Sales</x:t>
  </x:si>
  <x:si>
    <x:t xml:space="preserve">Beginning Inventory</x:t>
  </x:si>
  <x:si>
    <x:t xml:space="preserve">Add:Purchases</x:t>
  </x:si>
  <x:si>
    <x:t xml:space="preserve">         Freight-In</x:t>
  </x:si>
  <x:si>
    <x:t xml:space="preserve">         Direct Labor</x:t>
  </x:si>
  <x:si>
    <x:t xml:space="preserve">         Direct Expenses</x:t>
  </x:si>
  <x:si>
    <x:t xml:space="preserve">Goods Available for Sale</x:t>
  </x:si>
  <x:si>
    <x:t xml:space="preserve">Less: Ending Inventory</x:t>
  </x:si>
  <x:si>
    <x:t xml:space="preserve">Gross Profit</x:t>
  </x:si>
  <x:si>
    <x:t xml:space="preserve">Less: Administrative &amp; Operating Expenses</x:t>
  </x:si>
  <x:si>
    <x:t xml:space="preserve">Depreciation </x:t>
  </x:si>
  <x:si>
    <x:t xml:space="preserve">Bad Debts</x:t>
  </x:si>
  <x:si>
    <x:t xml:space="preserve">Net Profit</x:t>
  </x:si>
  <x:si>
    <x:t xml:space="preserve">Net Profit Margin</x:t>
  </x:si>
  <x:si>
    <x:t xml:space="preserve">exercise 3</x:t>
  </x:si>
  <x:si>
    <x:t xml:space="preserve">BREAK-EVEN POINT</x:t>
  </x:si>
  <x:si>
    <x:t xml:space="preserve">FIXED COST</x:t>
  </x:si>
  <x:si>
    <x:t xml:space="preserve">SELLING PRICE – VARIABLE UNIT COST</x:t>
  </x:si>
  <x:si>
    <x:t xml:space="preserve">BREAK -EVEN POINT</x:t>
  </x:si>
  <x:si>
    <x:t xml:space="preserve">Administrative Expenses</x:t>
  </x:si>
  <x:si>
    <x:t xml:space="preserve">Utilities</x:t>
  </x:si>
  <x:si>
    <x:t xml:space="preserve">Depreciation</x:t>
  </x:si>
  <x:si>
    <x:t xml:space="preserve">VARIABLE COST</x:t>
  </x:si>
  <x:si>
    <x:t xml:space="preserve">Purchases</x:t>
  </x:si>
  <x:si>
    <x:t xml:space="preserve">UNITS</x:t>
  </x:si>
  <x:si>
    <x:t xml:space="preserve">Direct Overhead</x:t>
  </x:si>
  <x:si>
    <x:t xml:space="preserve">AMOUNT</x:t>
  </x:si>
  <x:si>
    <x:t xml:space="preserve">TOTAL PRODUCTION COST</x:t>
  </x:si>
  <x:si>
    <x:t xml:space="preserve">UNITS PRODUCED</x:t>
  </x:si>
  <x:si>
    <x:t xml:space="preserve">COST PER UNIT</x:t>
  </x:si>
  <x:si>
    <x:t xml:space="preserve">VARIABLE COST PER UNIT</x:t>
  </x:si>
  <x:si>
    <x:t xml:space="preserve">TARGETED MARK-UP</x:t>
  </x:si>
  <x:si>
    <x:t xml:space="preserve">SELLING PRICE</x:t>
  </x:si>
  <x:si>
    <x:t xml:space="preserve">exercise 4</x:t>
  </x:si>
  <x:si>
    <x:t xml:space="preserve">Statement of Cash Flow</x:t>
  </x:si>
  <x:si>
    <x:t xml:space="preserve">Net Cash Flow from Operating Activities</x:t>
  </x:si>
  <x:si>
    <x:t xml:space="preserve">Add: Depreciation</x:t>
  </x:si>
  <x:si>
    <x:t xml:space="preserve">Net Cash Flow from Investing Activities</x:t>
  </x:si>
  <x:si>
    <x:t xml:space="preserve">Accounts Receivable</x:t>
  </x:si>
  <x:si>
    <x:t xml:space="preserve">Inventory</x:t>
  </x:si>
  <x:si>
    <x:t xml:space="preserve">Investments</x:t>
  </x:si>
  <x:si>
    <x:t xml:space="preserve">Land Acquisition</x:t>
  </x:si>
  <x:si>
    <x:t xml:space="preserve">Building construction</x:t>
  </x:si>
  <x:si>
    <x:t xml:space="preserve">Office Furnitures</x:t>
  </x:si>
  <x:si>
    <x:t xml:space="preserve">Net Cash Flow from Financing Activities</x:t>
  </x:si>
  <x:si>
    <x:t xml:space="preserve">CASH INFLOW</x:t>
  </x:si>
  <x:si>
    <x:t xml:space="preserve">Capital</x:t>
  </x:si>
  <x:si>
    <x:t xml:space="preserve">Accounts Payable</x:t>
  </x:si>
  <x:si>
    <x:t xml:space="preserve">Taxes Payable</x:t>
  </x:si>
  <x:si>
    <x:t xml:space="preserve">Accrued Payables</x:t>
  </x:si>
  <x:si>
    <x:t xml:space="preserve">NET CASH</x:t>
  </x:si>
  <x:si>
    <x:t xml:space="preserve">Add: Cash - Beginning</x:t>
  </x:si>
  <x:si>
    <x:t xml:space="preserve">CASH - ENDING</x:t>
  </x:si>
</x:sst>
</file>

<file path=xl/styles.xml><?xml version="1.0" encoding="utf-8"?>
<x:styleSheet xmlns:x="http://schemas.openxmlformats.org/spreadsheetml/2006/main">
  <x:numFmts count="5">
    <x:numFmt numFmtId="43" formatCode="_-* #,##0.00_-;\-* #,##0.00_-;_-* &quot;-&quot;??_-;_-@_-"/>
    <x:numFmt numFmtId="164" formatCode="_-* #,##0_-;\-* #,##0_-;_-* &quot;-&quot;??_-;_-@_-"/>
    <x:numFmt numFmtId="200" formatCode="0.0%"/>
    <x:numFmt numFmtId="201" formatCode="0.00"/>
    <x:numFmt numFmtId="202" formatCode="#,##0"/>
  </x:numFmts>
  <x:fonts count="15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0000"/>
      <x:name val="Calibri"/>
    </x:font>
    <x:font>
      <x:b/>
      <x:sz val="11"/>
      <x:color theme="5" tint="-0.24998"/>
      <x:name val="Calibri"/>
    </x:font>
    <x:font>
      <x:sz val="11"/>
      <x:color theme="5" tint="-0.24998"/>
      <x:name val="Calibri"/>
    </x:font>
    <x:font>
      <x:sz val="11"/>
      <x:color rgb="FFFF0000"/>
      <x:name val="Calibri"/>
    </x:font>
    <x:font>
      <x:b/>
      <x:sz val="16"/>
      <x:color theme="1"/>
      <x:name val="Calibri"/>
    </x:font>
    <x:font>
      <x:b/>
      <x:sz val="14"/>
      <x:color theme="1"/>
      <x:name val="Calibri"/>
    </x:font>
    <x:font>
      <x:sz val="11"/>
      <x:name val="Calibri"/>
    </x:font>
    <x:font>
      <x:b/>
      <x:sz val="11"/>
      <x:name val="Calibri"/>
    </x:font>
    <x:font>
      <x:sz val="13"/>
      <x:color rgb="FF000000"/>
      <x:name val="Arial Rounded MT Bold"/>
    </x:font>
    <x:font>
      <x:b/>
      <x:sz val="14"/>
      <x:color rgb="FF0070C0"/>
      <x:name val="Arial"/>
    </x:font>
    <x:font>
      <x:b/>
      <x:sz val="22"/>
      <x:color rgb="FF0070C0"/>
      <x:name val="Calibri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9">
    <x:border/>
    <x:border>
      <x:bottom style="thin">
        <x:color indexed="64"/>
      </x:bottom>
    </x:border>
    <x:border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top style="thin">
        <x:color indexed="64"/>
      </x:top>
      <x:bottom style="double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3">
    <x:xf numFmtId="0" fontId="0" fillId="0" borderId="0"/>
    <x:xf numFmtId="43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77">
    <x:xf numFmtId="0" fontId="0" fillId="0" borderId="0" xfId="0"/>
    <x:xf numFmtId="0" fontId="2" fillId="0" borderId="0" xfId="0" applyFont="1"/>
    <x:xf numFmtId="0" fontId="0" fillId="0" borderId="0" xfId="0" applyFont="1"/>
    <x:xf numFmtId="43" fontId="0" fillId="0" borderId="0" xfId="1" applyFont="1"/>
    <x:xf numFmtId="43" fontId="2" fillId="0" borderId="1" xfId="1" applyFont="1" applyBorder="1"/>
    <x:xf numFmtId="0" fontId="2" fillId="0" borderId="0" xfId="0" applyFont="1" applyAlignment="1">
      <x:alignment horizontal="center" wrapText="1"/>
    </x:xf>
    <x:xf numFmtId="0" fontId="3" fillId="0" borderId="0" xfId="0" applyFont="1"/>
    <x:xf numFmtId="0" fontId="3" fillId="0" borderId="0" xfId="0" applyFont="1" applyAlignment="1">
      <x:alignment horizontal="center" wrapText="1"/>
    </x:xf>
    <x:xf numFmtId="43" fontId="3" fillId="0" borderId="1" xfId="1" applyFont="1" applyBorder="1"/>
    <x:xf numFmtId="9" fontId="2" fillId="0" borderId="1" xfId="2" applyFont="1" applyBorder="1" applyAlignment="1">
      <x:alignment horizontal="center"/>
    </x:xf>
    <x:xf numFmtId="43" fontId="2" fillId="0" borderId="1" xfId="1" applyFont="1" applyBorder="1" applyAlignment="1">
      <x:alignment horizontal="center"/>
    </x:xf>
    <x:xf numFmtId="164" fontId="2" fillId="0" borderId="1" xfId="1" applyNumberFormat="1" applyFont="1" applyBorder="1" applyAlignment="1"/>
    <x:xf numFmtId="43" fontId="2" fillId="0" borderId="0" xfId="1" applyFont="1" applyBorder="1"/>
    <x:xf numFmtId="0" fontId="3" fillId="2" borderId="0" xfId="0" applyFont="1" applyFill="1"/>
    <x:xf numFmtId="43" fontId="2" fillId="2" borderId="1" xfId="1" applyFont="1" applyFill="1" applyBorder="1"/>
    <x:xf numFmtId="0" fontId="2" fillId="2" borderId="0" xfId="0" applyFont="1" applyFill="1"/>
    <x:xf numFmtId="0" fontId="2" fillId="0" borderId="0" xfId="0" applyFont="1" applyAlignment="1">
      <x:alignment horizontal="right"/>
    </x:xf>
    <x:xf numFmtId="0" fontId="4" fillId="0" borderId="0" xfId="0" applyFont="1"/>
    <x:xf numFmtId="0" fontId="5" fillId="0" borderId="0" xfId="0" applyFont="1"/>
    <x:xf numFmtId="43" fontId="2" fillId="0" borderId="0" xfId="1" applyFont="1" applyAlignment="1">
      <x:alignment horizontal="right"/>
    </x:xf>
    <x:xf numFmtId="43" fontId="2" fillId="0" borderId="0" xfId="1" applyFont="1"/>
    <x:xf numFmtId="10" fontId="2" fillId="0" borderId="0" xfId="2" applyNumberFormat="1" applyFont="1"/>
    <x:xf numFmtId="43" fontId="2" fillId="0" borderId="2" xfId="1" applyFont="1" applyBorder="1"/>
    <x:xf numFmtId="0" fontId="3" fillId="2" borderId="1" xfId="0" applyFont="1" applyFill="1" applyBorder="1" applyAlignment="1">
      <x:alignment horizontal="center"/>
    </x:xf>
    <x:xf numFmtId="10" fontId="10" fillId="0" borderId="0" xfId="2" applyNumberFormat="1" applyFont="1"/>
    <x:xf numFmtId="0" fontId="11" fillId="0" borderId="0" xfId="0" applyFont="1" applyAlignment="1">
      <x:alignment horizontal="left" vertical="center"/>
    </x:xf>
    <x:xf numFmtId="0" fontId="6" fillId="0" borderId="0" xfId="0" applyFont="1"/>
    <x:xf numFmtId="43" fontId="0" fillId="0" borderId="3" xfId="1" applyFont="1" applyBorder="1"/>
    <x:xf numFmtId="43" fontId="1" fillId="0" borderId="3" xfId="1" applyFont="1" applyBorder="1"/>
    <x:xf numFmtId="43" fontId="10" fillId="0" borderId="7" xfId="1" applyFont="1" applyBorder="1"/>
    <x:xf numFmtId="43" fontId="2" fillId="0" borderId="3" xfId="1" applyFont="1" applyBorder="1"/>
    <x:xf numFmtId="10" fontId="3" fillId="0" borderId="3" xfId="2" applyNumberFormat="1" applyFont="1" applyBorder="1"/>
    <x:xf numFmtId="10" fontId="10" fillId="0" borderId="3" xfId="2" applyNumberFormat="1" applyFont="1" applyBorder="1"/>
    <x:xf numFmtId="43" fontId="9" fillId="0" borderId="3" xfId="1" applyFont="1" applyBorder="1"/>
    <x:xf numFmtId="43" fontId="10" fillId="0" borderId="3" xfId="1" applyFont="1" applyBorder="1"/>
    <x:xf numFmtId="0" fontId="12" fillId="0" borderId="0" xfId="0" applyFont="1" applyAlignment="1">
      <x:alignment horizontal="center" vertical="center"/>
    </x:xf>
    <x:xf numFmtId="0" fontId="0" fillId="0" borderId="8" xfId="0" applyBorder="1"/>
    <x:xf numFmtId="0" fontId="12" fillId="0" borderId="8" xfId="0" applyFont="1" applyBorder="1" applyAlignment="1">
      <x:alignment vertical="center"/>
    </x:xf>
    <x:xf numFmtId="43" fontId="4" fillId="0" borderId="9" xfId="0" applyNumberFormat="1" applyFont="1" applyBorder="1"/>
    <x:xf numFmtId="0" fontId="13" fillId="0" borderId="0" xfId="0" applyFont="1"/>
    <x:xf numFmtId="0" fontId="2" fillId="0" borderId="0" xfId="0" applyFont="1" applyAlignment="1"/>
    <x:xf numFmtId="0" fontId="3" fillId="0" borderId="0" xfId="0" applyFont="1" applyAlignment="1">
      <x:alignment horizontal="right"/>
    </x:xf>
    <x:xf numFmtId="43" fontId="10" fillId="0" borderId="1" xfId="1" applyFont="1" applyBorder="1"/>
    <x:xf numFmtId="0" fontId="14" fillId="0" borderId="0" xfId="0" applyFont="1"/>
    <x:xf numFmtId="0" fontId="0" fillId="0" borderId="1" xfId="0" applyBorder="1"/>
    <x:xf numFmtId="0" fontId="0" fillId="0" borderId="5" xfId="0" applyBorder="1"/>
    <x:xf numFmtId="43" fontId="8" fillId="0" borderId="2" xfId="1" applyFont="1" applyBorder="1"/>
    <x:xf numFmtId="43" fontId="8" fillId="0" borderId="0" xfId="1" applyFont="1" applyAlignment="1">
      <x:alignment horizontal="right"/>
    </x:xf>
    <x:xf numFmtId="0" fontId="2" fillId="0" borderId="1" xfId="0" applyFont="1" applyBorder="1"/>
    <x:xf numFmtId="43" fontId="0" fillId="0" borderId="0" xfId="0" applyNumberFormat="1"/>
    <x:xf numFmtId="43" fontId="9" fillId="0" borderId="0" xfId="0" applyNumberFormat="1" applyFont="1"/>
    <x:xf numFmtId="43" fontId="10" fillId="0" borderId="5" xfId="0" applyNumberFormat="1" applyFont="1" applyBorder="1"/>
    <x:xf numFmtId="43" fontId="3" fillId="0" borderId="5" xfId="1" applyFont="1" applyFill="1" applyBorder="1"/>
    <x:xf numFmtId="43" fontId="2" fillId="0" borderId="0" xfId="0" applyNumberFormat="1" applyFont="1"/>
    <x:xf numFmtId="43" fontId="10" fillId="0" borderId="13" xfId="0" applyNumberFormat="1" applyFont="1" applyBorder="1"/>
    <x:xf numFmtId="43" fontId="9" fillId="0" borderId="3" xfId="0" applyNumberFormat="1" applyFont="1" applyBorder="1"/>
    <x:xf numFmtId="43" fontId="0" fillId="0" borderId="3" xfId="0" applyNumberFormat="1" applyBorder="1"/>
    <x:xf numFmtId="43" fontId="9" fillId="0" borderId="3" xfId="1" applyFont="1" applyFill="1" applyBorder="1"/>
    <x:xf numFmtId="10" fontId="3" fillId="2" borderId="15" xfId="2" applyNumberFormat="1" applyFont="1" applyFill="1" applyBorder="1"/>
    <x:xf numFmtId="0" fontId="0" fillId="0" borderId="17" xfId="0" applyBorder="1"/>
    <x:xf numFmtId="0" fontId="2" fillId="0" borderId="8" xfId="0" applyFont="1" applyBorder="1" applyAlignment="1">
      <x:alignment horizontal="center"/>
    </x:xf>
    <x:xf numFmtId="0" fontId="0" fillId="0" borderId="18" xfId="0" applyBorder="1"/>
    <x:xf numFmtId="0" fontId="0" fillId="2" borderId="14" xfId="0" applyFill="1" applyBorder="1"/>
    <x:xf numFmtId="0" fontId="0" fillId="2" borderId="16" xfId="0" applyFill="1" applyBorder="1"/>
    <x:xf numFmtId="0" fontId="2" fillId="0" borderId="10" xfId="0" applyFont="1" applyBorder="1" applyAlignment="1">
      <x:alignment horizontal="left"/>
    </x:xf>
    <x:xf numFmtId="0" fontId="2" fillId="0" borderId="11" xfId="0" applyFont="1" applyBorder="1" applyAlignment="1">
      <x:alignment horizontal="left"/>
    </x:xf>
    <x:xf numFmtId="0" fontId="8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7" fillId="0" borderId="4" xfId="0" applyFont="1" applyBorder="1" applyAlignment="1">
      <x:alignment horizontal="center"/>
    </x:xf>
    <x:xf numFmtId="0" fontId="7" fillId="0" borderId="5" xfId="0" applyFont="1" applyBorder="1" applyAlignment="1">
      <x:alignment horizontal="center"/>
    </x:xf>
    <x:xf numFmtId="0" fontId="7" fillId="0" borderId="6" xfId="0" applyFont="1" applyBorder="1" applyAlignment="1">
      <x:alignment horizontal="center"/>
    </x:xf>
    <x:xf numFmtId="0" fontId="2" fillId="0" borderId="12" xfId="0" applyFont="1" applyBorder="1" applyAlignment="1">
      <x:alignment horizontal="left"/>
    </x:xf>
    <x:xf numFmtId="200" fontId="10" fillId="0" borderId="3" xfId="0" applyNumberFormat="1" applyFont="1" applyFill="1" applyBorder="1"/>
    <x:xf numFmtId="200" fontId="3" fillId="2" borderId="15" xfId="0" applyNumberFormat="1" applyFont="1" applyFill="1" applyBorder="1"/>
    <x:xf numFmtId="200" fontId="2" fillId="0" borderId="1" xfId="0" applyNumberFormat="1" applyFont="1" applyFill="1" applyBorder="1" applyAlignment="1">
      <x:alignment horizontal="center"/>
    </x:xf>
    <x:xf numFmtId="201" fontId="4" fillId="0" borderId="9" xfId="0" applyNumberFormat="1" applyFont="1" applyFill="1" applyBorder="1"/>
    <x:xf numFmtId="202" fontId="4" fillId="0" borderId="9" xfId="0" applyNumberFormat="1" applyFont="1" applyFill="1" applyBorder="1"/>
  </x:cellXfs>
  <x:cellStyles count="3">
    <x:cellStyle name="Comma" xfId="1"/>
    <x:cellStyle name="Normal" xfId="0"/>
    <x:cellStyle name="Percent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23d6824b64568" /><Relationship Type="http://schemas.openxmlformats.org/officeDocument/2006/relationships/theme" Target="/xl/theme/theme1.xml" Id="R6b1521ca96084ade" /><Relationship Type="http://schemas.openxmlformats.org/officeDocument/2006/relationships/sharedStrings" Target="/xl/sharedStrings.xml" Id="R04fc3753fc894d46" /><Relationship Type="http://schemas.openxmlformats.org/officeDocument/2006/relationships/worksheet" Target="/xl/worksheets/sheet1.xml" Id="Rd537dd05077c4655" /><Relationship Type="http://schemas.openxmlformats.org/officeDocument/2006/relationships/worksheet" Target="/xl/worksheets/sheet2.xml" Id="R4cdf45b420e04e07" /><Relationship Type="http://schemas.openxmlformats.org/officeDocument/2006/relationships/worksheet" Target="/xl/worksheets/sheet3.xml" Id="R477a6ccb7b904d91" /><Relationship Type="http://schemas.openxmlformats.org/officeDocument/2006/relationships/worksheet" Target="/xl/worksheets/sheet4.xml" Id="R7c7c12d3868346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4.6640625" customWidth="1"/>
    <x:col min="2" max="2" width="12.88671875" customWidth="1"/>
    <x:col min="3" max="3" width="8.33203125" customWidth="1"/>
    <x:col min="4" max="4" width="12.88671875" customWidth="1"/>
    <x:col min="5" max="5" width="2.44140625" customWidth="1"/>
    <x:col min="6" max="6" width="12.88671875" customWidth="1"/>
    <x:col min="7" max="8" width="2.44140625" customWidth="1"/>
  </x:cols>
  <x:sheetData>
    <x:row r="1" ht="15">
      <x:c r="A1" s="64" t="s">
        <x:v>0</x:v>
      </x:c>
      <x:c r="B1" s="65" t="str">
        <x:v>AqOne</x:v>
      </x:c>
      <x:c r="C1" s="65"/>
      <x:c r="D1" s="65"/>
      <x:c r="E1" s="65"/>
      <x:c r="F1" s="65"/>
      <x:c r="G1" s="65"/>
    </x:row>
    <x:row r="2">
      <x:c r="F2" s="41" t="s">
        <x:v>1</x:v>
      </x:c>
    </x:row>
    <x:row r="3" ht="18">
      <x:c r="A3" s="66" t="s">
        <x:v>2</x:v>
      </x:c>
      <x:c r="B3" s="66"/>
      <x:c r="C3" s="66"/>
      <x:c r="D3" s="66"/>
      <x:c r="E3" s="66"/>
      <x:c r="F3" s="66"/>
    </x:row>
    <x:row r="4">
      <x:c r="A4" s="67"/>
      <x:c r="B4" s="67"/>
      <x:c r="C4" s="67"/>
      <x:c r="D4" s="67"/>
      <x:c r="E4" s="67"/>
      <x:c r="F4" s="67"/>
    </x:row>
    <x:row r="5">
      <x:c r="A5" s="1" t="s">
        <x:v>3</x:v>
      </x:c>
    </x:row>
    <x:row r="6">
      <x:c r="A6" t="s">
        <x:v>4</x:v>
      </x:c>
      <x:c r="D6" s="27" t="n">
        <x:v>50100</x:v>
      </x:c>
      <x:c r="F6" s="3"/>
    </x:row>
    <x:row r="7">
      <x:c r="A7" t="s">
        <x:v>5</x:v>
      </x:c>
      <x:c r="D7" s="27" t="n">
        <x:v>0</x:v>
      </x:c>
      <x:c r="F7" s="3"/>
    </x:row>
    <x:row r="8">
      <x:c r="A8" t="s">
        <x:v>6</x:v>
      </x:c>
      <x:c r="D8" s="27" t="n">
        <x:v>0</x:v>
      </x:c>
      <x:c r="F8" s="3"/>
    </x:row>
    <x:row r="9">
      <x:c r="A9" t="s">
        <x:v>7</x:v>
      </x:c>
      <x:c r="D9" s="27" t="n">
        <x:v>0</x:v>
      </x:c>
      <x:c r="F9" s="3"/>
    </x:row>
    <x:row r="10">
      <x:c r="A10" s="1" t="s">
        <x:v>8</x:v>
      </x:c>
      <x:c r="D10" s="3"/>
      <x:c r="F10" s="42" t="n">
        <x:f>SUM(D11:D28)</x:f>
        <x:v>46238.8333334</x:v>
      </x:c>
      <x:c r="J10" s="43"/>
    </x:row>
    <x:row r="11">
      <x:c r="A11" t="s">
        <x:v>9</x:v>
      </x:c>
      <x:c r="D11" s="27" t="n">
        <x:v>15000</x:v>
      </x:c>
      <x:c r="F11" s="3"/>
    </x:row>
    <x:row r="12">
      <x:c r="A12" t="s">
        <x:v>10</x:v>
      </x:c>
      <x:c r="D12" s="27" t="n">
        <x:v>0</x:v>
      </x:c>
      <x:c r="F12" s="3"/>
    </x:row>
    <x:row r="13">
      <x:c r="A13" t="s">
        <x:v>11</x:v>
      </x:c>
      <x:c r="D13" s="27" t="n">
        <x:v>0</x:v>
      </x:c>
      <x:c r="F13" s="3"/>
    </x:row>
    <x:row r="14">
      <x:c r="A14" t="s">
        <x:v>12</x:v>
      </x:c>
      <x:c r="D14" s="27" t="n">
        <x:v>0</x:v>
      </x:c>
      <x:c r="F14" s="3"/>
    </x:row>
    <x:row r="15">
      <x:c r="A15" t="s">
        <x:v>13</x:v>
      </x:c>
      <x:c r="D15" s="27" t="n">
        <x:v>0</x:v>
      </x:c>
      <x:c r="F15" s="3"/>
    </x:row>
    <x:row r="16">
      <x:c r="A16" t="s">
        <x:v>14</x:v>
      </x:c>
      <x:c r="D16" s="27" t="n">
        <x:v>2000</x:v>
      </x:c>
      <x:c r="F16" s="3"/>
    </x:row>
    <x:row r="17">
      <x:c r="A17" t="s">
        <x:v>15</x:v>
      </x:c>
      <x:c r="D17" s="27" t="n">
        <x:v>0</x:v>
      </x:c>
      <x:c r="F17" s="3"/>
    </x:row>
    <x:row r="18">
      <x:c r="A18" t="s">
        <x:v>16</x:v>
      </x:c>
      <x:c r="D18" s="27" t="n">
        <x:v>0</x:v>
      </x:c>
      <x:c r="F18" s="3"/>
    </x:row>
    <x:row r="19">
      <x:c r="A19" t="s">
        <x:v>17</x:v>
      </x:c>
      <x:c r="D19" s="27" t="n">
        <x:v>0</x:v>
      </x:c>
      <x:c r="F19" s="3"/>
    </x:row>
    <x:row r="20">
      <x:c r="A20" t="s">
        <x:v>18</x:v>
      </x:c>
      <x:c r="D20" s="27" t="n">
        <x:v>0</x:v>
      </x:c>
      <x:c r="F20" s="3"/>
    </x:row>
    <x:row r="21">
      <x:c r="A21" t="s">
        <x:v>19</x:v>
      </x:c>
      <x:c r="D21" s="27" t="n">
        <x:v>0</x:v>
      </x:c>
      <x:c r="F21" s="3"/>
    </x:row>
    <x:row r="22">
      <x:c r="A22" t="s">
        <x:v>20</x:v>
      </x:c>
      <x:c r="D22" s="27" t="n">
        <x:v>0</x:v>
      </x:c>
      <x:c r="F22" s="3"/>
    </x:row>
    <x:row r="23">
      <x:c r="A23" t="s">
        <x:v>21</x:v>
      </x:c>
      <x:c r="D23" s="27" t="n">
        <x:v>0</x:v>
      </x:c>
      <x:c r="F23" s="3"/>
    </x:row>
    <x:row r="24">
      <x:c r="A24" t="s">
        <x:v>22</x:v>
      </x:c>
      <x:c r="D24" s="27" t="n">
        <x:v>7500</x:v>
      </x:c>
      <x:c r="F24" s="3"/>
    </x:row>
    <x:row r="25">
      <x:c r="A25" t="s">
        <x:v>23</x:v>
      </x:c>
      <x:c r="D25" s="27" t="n">
        <x:v>1916.6666667</x:v>
      </x:c>
      <x:c r="F25" s="3"/>
    </x:row>
    <x:row r="26">
      <x:c r="A26" t="s">
        <x:v>24</x:v>
      </x:c>
      <x:c r="D26" s="27" t="n">
        <x:v>7760.6666667</x:v>
      </x:c>
      <x:c r="F26" s="3"/>
    </x:row>
    <x:row r="27">
      <x:c r="A27" t="s">
        <x:v>25</x:v>
      </x:c>
      <x:c r="D27" s="27" t="n">
        <x:v>12061.5</x:v>
      </x:c>
      <x:c r="F27" s="3"/>
    </x:row>
    <x:row r="28">
      <x:c r="A28" t="s">
        <x:v>26</x:v>
      </x:c>
      <x:c r="D28" s="28" t="n">
        <x:v>0</x:v>
      </x:c>
    </x:row>
    <x:row r="29">
      <x:c r="C29" s="1" t="s">
        <x:v>27</x:v>
      </x:c>
      <x:c r="D29" s="19" t="s">
        <x:v>28</x:v>
      </x:c>
      <x:c r="F29" s="44" t="n">
        <x:f>SUM(D6:D9)</x:f>
        <x:v>50100</x:v>
      </x:c>
    </x:row>
    <x:row r="30" ht="16.799999237060547">
      <x:c r="A30" s="25"/>
      <x:c r="D30" s="16" t="s">
        <x:v>29</x:v>
      </x:c>
      <x:c r="F30" s="45" t="n">
        <x:v>12</x:v>
      </x:c>
    </x:row>
    <x:row r="31">
      <x:c r="D31" s="19" t="s">
        <x:v>28</x:v>
      </x:c>
      <x:c r="F31" s="44" t="n">
        <x:f>F10*F30</x:f>
        <x:v>554866.0000008</x:v>
      </x:c>
    </x:row>
    <x:row r="33">
      <x:c r="A33" s="1" t="s">
        <x:v>30</x:v>
      </x:c>
    </x:row>
    <x:row r="34">
      <x:c r="A34" t="s">
        <x:v>31</x:v>
      </x:c>
      <x:c r="D34" s="27" t="n">
        <x:v>0</x:v>
      </x:c>
    </x:row>
    <x:row r="35">
      <x:c r="A35" t="s">
        <x:v>32</x:v>
      </x:c>
      <x:c r="D35" s="27" t="n">
        <x:v>0</x:v>
      </x:c>
    </x:row>
    <x:row r="36">
      <x:c r="A36" t="s">
        <x:v>33</x:v>
      </x:c>
      <x:c r="D36" s="27" t="n">
        <x:v>164985</x:v>
      </x:c>
    </x:row>
    <x:row r="37">
      <x:c r="A37" t="s">
        <x:v>34</x:v>
      </x:c>
      <x:c r="D37" s="27" t="n">
        <x:v>0</x:v>
      </x:c>
    </x:row>
    <x:row r="38">
      <x:c r="A38" t="s">
        <x:v>35</x:v>
      </x:c>
      <x:c r="D38" s="27" t="n">
        <x:v>0</x:v>
      </x:c>
      <x:c r="F38" s="44"/>
    </x:row>
    <x:row r="39" ht="18.600000381469727">
      <x:c r="D39" s="47" t="s">
        <x:v>28</x:v>
      </x:c>
      <x:c r="F39" s="46" t="n">
        <x:f>SUM(D34:D38)</x:f>
        <x:v>164985</x:v>
      </x:c>
    </x:row>
    <x:row r="40" ht="15"/>
  </x:sheetData>
  <x:mergeCells>
    <x:mergeCell ref="A1:G1"/>
    <x:mergeCell ref="A3:F3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4.6640625" customWidth="1"/>
    <x:col min="2" max="2" width="12.88671875" customWidth="1"/>
    <x:col min="3" max="3" width="8.33203125" customWidth="1"/>
    <x:col min="4" max="5" width="12.88671875" customWidth="1"/>
    <x:col min="6" max="6" width="2.44140625" customWidth="1"/>
    <x:col min="7" max="7" width="11.5546875" customWidth="1"/>
    <x:col min="8" max="8" width="2.44140625" customWidth="1"/>
  </x:cols>
  <x:sheetData>
    <x:row r="1" ht="15">
      <x:c r="A1" s="64" t="s">
        <x:v>0</x:v>
      </x:c>
      <x:c r="B1" s="65" t="str">
        <x:v>AqOne Profitable Case</x:v>
      </x:c>
      <x:c r="C1" s="65"/>
      <x:c r="D1" s="65"/>
      <x:c r="E1" s="65"/>
      <x:c r="F1" s="65"/>
      <x:c r="G1" s="71"/>
    </x:row>
    <x:row r="2">
      <x:c r="G2" s="41" t="s">
        <x:v>36</x:v>
      </x:c>
    </x:row>
    <x:row r="3" ht="21">
      <x:c r="A3" s="68"/>
      <x:c r="B3" s="69"/>
      <x:c r="C3" s="69"/>
      <x:c r="D3" s="69"/>
      <x:c r="E3" s="70"/>
    </x:row>
    <x:row r="4" ht="18">
      <x:c r="A4" s="66" t="s">
        <x:v>37</x:v>
      </x:c>
      <x:c r="B4" s="66"/>
      <x:c r="C4" s="66"/>
      <x:c r="D4" s="66"/>
      <x:c r="E4" s="66"/>
    </x:row>
    <x:row r="5">
      <x:c r="A5" s="67" t="s">
        <x:v>38</x:v>
      </x:c>
      <x:c r="B5" s="67"/>
      <x:c r="C5" s="67"/>
      <x:c r="D5" s="67"/>
      <x:c r="E5" s="67"/>
      <x:c r="G5" s="23" t="s">
        <x:v>39</x:v>
      </x:c>
    </x:row>
    <x:row r="7">
      <x:c r="A7" s="1" t="s">
        <x:v>40</x:v>
      </x:c>
      <x:c r="B7" s="1"/>
      <x:c r="C7" s="1"/>
      <x:c r="D7" s="19" t="str">
        <x:v>Php</x:v>
      </x:c>
      <x:c r="E7" s="30" t="n">
        <x:v>1540000</x:v>
      </x:c>
      <x:c r="G7" s="31"/>
    </x:row>
    <x:row r="8">
      <x:c r="A8" s="1" t="s">
        <x:v>41</x:v>
      </x:c>
      <x:c r="B8" s="1"/>
      <x:c r="C8" s="1"/>
      <x:c r="D8" s="20"/>
      <x:c r="E8" s="20"/>
    </x:row>
    <x:row r="9">
      <x:c r="B9" t="s">
        <x:v>42</x:v>
      </x:c>
      <x:c r="D9" s="3" t="n">
        <x:v>0</x:v>
      </x:c>
      <x:c r="E9" s="3"/>
    </x:row>
    <x:row r="10">
      <x:c r="B10" t="s">
        <x:v>43</x:v>
      </x:c>
      <x:c r="D10" s="27" t="n">
        <x:v>500000</x:v>
      </x:c>
      <x:c r="E10" s="3"/>
    </x:row>
    <x:row r="11">
      <x:c r="B11" t="s">
        <x:v>44</x:v>
      </x:c>
      <x:c r="D11" s="27" t="n">
        <x:v>40000</x:v>
      </x:c>
      <x:c r="E11" s="3"/>
    </x:row>
    <x:row r="12">
      <x:c r="B12" t="s">
        <x:v>45</x:v>
      </x:c>
      <x:c r="D12" s="27" t="n">
        <x:v>80000</x:v>
      </x:c>
      <x:c r="E12" s="3"/>
    </x:row>
    <x:row r="13">
      <x:c r="B13" t="s">
        <x:v>46</x:v>
      </x:c>
      <x:c r="D13" s="27" t="n">
        <x:v>80000</x:v>
      </x:c>
      <x:c r="E13" s="3"/>
    </x:row>
    <x:row r="14">
      <x:c r="B14" t="s">
        <x:v>47</x:v>
      </x:c>
      <x:c r="D14" s="20" t="n">
        <x:f>SUM(D9:D13)</x:f>
        <x:v>700000</x:v>
      </x:c>
      <x:c r="E14" s="3"/>
    </x:row>
    <x:row r="15">
      <x:c r="B15" t="s">
        <x:v>48</x:v>
      </x:c>
      <x:c r="D15" s="33" t="n">
        <x:f>+D10*0.11</x:f>
        <x:v>55000</x:v>
      </x:c>
      <x:c r="E15" s="29" t="n">
        <x:f>+D14-D15</x:f>
        <x:v>645000</x:v>
      </x:c>
      <x:c r="G15" s="32"/>
    </x:row>
    <x:row r="16">
      <x:c r="A16" s="1" t="s">
        <x:v>49</x:v>
      </x:c>
      <x:c r="D16" s="21"/>
      <x:c r="E16" s="34" t="n">
        <x:f>+E7-E15</x:f>
        <x:v>895000</x:v>
      </x:c>
      <x:c r="G16" s="72" t="n">
        <x:f>IFERROR(E16/E7,0)</x:f>
        <x:v>0.5811688311688312</x:v>
      </x:c>
    </x:row>
    <x:row r="17">
      <x:c r="A17" s="1" t="s">
        <x:v>50</x:v>
      </x:c>
      <x:c r="D17" s="3"/>
      <x:c r="E17" s="20"/>
    </x:row>
    <x:row r="18">
      <x:c r="A18" t="s">
        <x:v>9</x:v>
      </x:c>
      <x:c r="D18" s="27" t="n">
        <x:v>180000</x:v>
      </x:c>
      <x:c r="E18" s="3"/>
    </x:row>
    <x:row r="19">
      <x:c r="A19" t="s">
        <x:v>10</x:v>
      </x:c>
      <x:c r="D19" s="27" t="n">
        <x:v>0</x:v>
      </x:c>
      <x:c r="E19" s="3"/>
    </x:row>
    <x:row r="20">
      <x:c r="A20" t="s">
        <x:v>11</x:v>
      </x:c>
      <x:c r="D20" s="27" t="n">
        <x:v>0</x:v>
      </x:c>
      <x:c r="E20" s="3"/>
    </x:row>
    <x:row r="21">
      <x:c r="A21" t="s">
        <x:v>12</x:v>
      </x:c>
      <x:c r="D21" s="27" t="n">
        <x:v>0</x:v>
      </x:c>
      <x:c r="E21" s="3"/>
    </x:row>
    <x:row r="22">
      <x:c r="A22" t="s">
        <x:v>13</x:v>
      </x:c>
      <x:c r="D22" s="27" t="n">
        <x:v>0</x:v>
      </x:c>
      <x:c r="E22" s="3"/>
    </x:row>
    <x:row r="23">
      <x:c r="A23" t="s">
        <x:v>14</x:v>
      </x:c>
      <x:c r="D23" s="27" t="n">
        <x:v>120000</x:v>
      </x:c>
      <x:c r="E23" s="3"/>
    </x:row>
    <x:row r="24">
      <x:c r="A24" t="s">
        <x:v>15</x:v>
      </x:c>
      <x:c r="D24" s="27" t="n">
        <x:v>0</x:v>
      </x:c>
      <x:c r="E24" s="3"/>
    </x:row>
    <x:row r="25">
      <x:c r="A25" t="s">
        <x:v>16</x:v>
      </x:c>
      <x:c r="D25" s="27" t="n">
        <x:v>0</x:v>
      </x:c>
      <x:c r="E25" s="3"/>
    </x:row>
    <x:row r="26">
      <x:c r="A26" t="s">
        <x:v>17</x:v>
      </x:c>
      <x:c r="D26" s="27" t="n">
        <x:v>50000</x:v>
      </x:c>
      <x:c r="E26" s="3"/>
    </x:row>
    <x:row r="27">
      <x:c r="A27" t="s">
        <x:v>18</x:v>
      </x:c>
      <x:c r="D27" s="27" t="n">
        <x:v>0</x:v>
      </x:c>
      <x:c r="E27" s="3"/>
    </x:row>
    <x:row r="28">
      <x:c r="A28" t="s">
        <x:v>19</x:v>
      </x:c>
      <x:c r="D28" s="27" t="n">
        <x:v>0</x:v>
      </x:c>
      <x:c r="E28" s="3"/>
    </x:row>
    <x:row r="29">
      <x:c r="A29" t="s">
        <x:v>20</x:v>
      </x:c>
      <x:c r="D29" s="27" t="n">
        <x:v>0</x:v>
      </x:c>
      <x:c r="E29" s="3"/>
    </x:row>
    <x:row r="30">
      <x:c r="A30" t="s">
        <x:v>21</x:v>
      </x:c>
      <x:c r="D30" s="27" t="n">
        <x:v>0</x:v>
      </x:c>
      <x:c r="E30" s="3"/>
    </x:row>
    <x:row r="31">
      <x:c r="A31" t="s">
        <x:v>22</x:v>
      </x:c>
      <x:c r="D31" s="27" t="n">
        <x:v>75000</x:v>
      </x:c>
      <x:c r="E31" s="3"/>
    </x:row>
    <x:row r="32">
      <x:c r="A32" t="s">
        <x:v>23</x:v>
      </x:c>
      <x:c r="D32" s="27" t="n">
        <x:v>0</x:v>
      </x:c>
      <x:c r="E32" s="3"/>
    </x:row>
    <x:row r="33">
      <x:c r="A33" t="s">
        <x:v>24</x:v>
      </x:c>
      <x:c r="D33" s="27" t="n">
        <x:v>40000</x:v>
      </x:c>
      <x:c r="E33" s="3"/>
    </x:row>
    <x:row r="34">
      <x:c r="A34" t="s">
        <x:v>25</x:v>
      </x:c>
      <x:c r="D34" s="27" t="n">
        <x:v>0</x:v>
      </x:c>
      <x:c r="E34" s="3"/>
    </x:row>
    <x:row r="35">
      <x:c r="A35" s="26" t="s">
        <x:v>51</x:v>
      </x:c>
      <x:c r="B35" s="26"/>
      <x:c r="C35" s="26"/>
      <x:c r="D35" s="27" t="n">
        <x:v>25000</x:v>
      </x:c>
      <x:c r="E35" s="3"/>
    </x:row>
    <x:row r="36">
      <x:c r="A36" s="26" t="s">
        <x:v>52</x:v>
      </x:c>
      <x:c r="B36" s="26"/>
      <x:c r="C36" s="26"/>
      <x:c r="D36" s="27" t="n">
        <x:v>0</x:v>
      </x:c>
      <x:c r="E36" s="3"/>
    </x:row>
    <x:row r="37" ht="15">
      <x:c r="A37" t="s">
        <x:v>26</x:v>
      </x:c>
      <x:c r="D37" s="28" t="n">
        <x:v>0</x:v>
      </x:c>
      <x:c r="E37" s="29" t="n">
        <x:f>SUM(D18:D37)</x:f>
        <x:v>490000</x:v>
      </x:c>
      <x:c r="G37" s="24"/>
    </x:row>
    <x:row r="38" ht="15">
      <x:c r="A38" s="1" t="s">
        <x:v>53</x:v>
      </x:c>
      <x:c r="D38" s="19" t="s">
        <x:v>28</x:v>
      </x:c>
      <x:c r="E38" s="22" t="n">
        <x:f>+E16-E37</x:f>
        <x:v>405000</x:v>
      </x:c>
      <x:c r="F38" s="62"/>
      <x:c r="G38" s="73" t="n">
        <x:f>IFERROR(E38/E7,0)</x:f>
        <x:v>0.262987012987013</x:v>
      </x:c>
      <x:c r="H38" s="63"/>
    </x:row>
    <x:row r="39" ht="18">
      <x:c r="A39" s="25"/>
      <x:c r="F39" s="59"/>
      <x:c r="G39" s="60" t="s">
        <x:v>54</x:v>
      </x:c>
      <x:c r="H39" s="61"/>
    </x:row>
  </x:sheetData>
  <x:mergeCells>
    <x:mergeCell ref="A3:E3"/>
    <x:mergeCell ref="A4:E4"/>
    <x:mergeCell ref="A5:E5"/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21.33203125" customWidth="1"/>
    <x:col min="2" max="2" width="10.33203125" customWidth="1"/>
    <x:col min="3" max="3" width="3.6640625" customWidth="1"/>
    <x:col min="5" max="5" width="11" customWidth="1"/>
    <x:col min="8" max="8" width="8.6640625" customWidth="1"/>
  </x:cols>
  <x:sheetData>
    <x:row r="1" ht="15">
      <x:c r="A1" s="64" t="s">
        <x:v>0</x:v>
      </x:c>
      <x:c r="B1" s="65" t="str">
        <x:v>AqOne Profitable Case</x:v>
      </x:c>
      <x:c r="C1" s="65"/>
      <x:c r="D1" s="65"/>
      <x:c r="E1" s="65"/>
      <x:c r="F1" s="65"/>
      <x:c r="G1" s="71"/>
    </x:row>
    <x:row r="2">
      <x:c r="G2" s="41" t="s">
        <x:v>55</x:v>
      </x:c>
    </x:row>
    <x:row r="3" ht="28.799999237060547">
      <x:c r="A3" s="39" t="s">
        <x:v>56</x:v>
      </x:c>
    </x:row>
    <x:row r="5" ht="18">
      <x:c r="A5" s="36"/>
      <x:c r="B5" s="37" t="s">
        <x:v>57</x:v>
      </x:c>
      <x:c r="C5" s="36"/>
      <x:c r="D5" s="36"/>
      <x:c r="E5" s="36"/>
    </x:row>
    <x:row r="6" ht="17.399999618530273">
      <x:c r="B6" s="35" t="s">
        <x:v>58</x:v>
      </x:c>
    </x:row>
    <x:row r="8">
      <x:c r="A8" s="6" t="s">
        <x:v>57</x:v>
      </x:c>
      <x:c r="B8" s="4" t="n">
        <x:f>SUM(B9:B12)</x:f>
        <x:v>490000</x:v>
      </x:c>
      <x:c r="D8" s="17" t="s">
        <x:v>59</x:v>
      </x:c>
      <x:c r="E8" s="18"/>
    </x:row>
    <x:row r="9">
      <x:c r="A9" s="2" t="s">
        <x:v>60</x:v>
      </x:c>
      <x:c r="B9" s="27" t="n">
        <x:v>425000</x:v>
      </x:c>
    </x:row>
    <x:row r="10">
      <x:c r="A10" t="s">
        <x:v>15</x:v>
      </x:c>
      <x:c r="B10" s="27" t="n">
        <x:v>24000</x:v>
      </x:c>
    </x:row>
    <x:row r="11">
      <x:c r="A11" t="s">
        <x:v>61</x:v>
      </x:c>
      <x:c r="B11" s="27" t="n">
        <x:v>16000</x:v>
      </x:c>
    </x:row>
    <x:row r="12">
      <x:c r="A12" t="s">
        <x:v>62</x:v>
      </x:c>
      <x:c r="B12" s="27" t="n">
        <x:v>25000</x:v>
      </x:c>
    </x:row>
    <x:row r="13">
      <x:c r="B13" s="3"/>
    </x:row>
    <x:row r="14">
      <x:c r="A14" s="13" t="s">
        <x:v>63</x:v>
      </x:c>
      <x:c r="B14" s="14" t="n">
        <x:f>SUM(B15:B18)</x:f>
        <x:v>700000</x:v>
      </x:c>
    </x:row>
    <x:row r="15" ht="15">
      <x:c r="A15" t="s">
        <x:v>64</x:v>
      </x:c>
      <x:c r="B15" s="27" t="n">
        <x:v>500000</x:v>
      </x:c>
    </x:row>
    <x:row r="16" ht="15">
      <x:c r="A16" t="s">
        <x:v>6</x:v>
      </x:c>
      <x:c r="B16" s="27" t="n">
        <x:v>80000</x:v>
      </x:c>
      <x:c r="D16" s="17" t="s">
        <x:v>65</x:v>
      </x:c>
      <x:c r="E16" s="75" t="n">
        <x:f>IFERROR(B8/(B30-B26),0)</x:f>
        <x:v>1.6091954022988506</x:v>
      </x:c>
    </x:row>
    <x:row r="17" ht="15">
      <x:c r="A17" t="s">
        <x:v>66</x:v>
      </x:c>
      <x:c r="B17" s="27" t="n">
        <x:v>80000</x:v>
      </x:c>
    </x:row>
    <x:row r="18" ht="15">
      <x:c r="A18" t="s">
        <x:v>5</x:v>
      </x:c>
      <x:c r="B18" s="27" t="n">
        <x:v>40000</x:v>
      </x:c>
      <x:c r="D18" s="17" t="s">
        <x:v>67</x:v>
      </x:c>
      <x:c r="E18" s="76" t="n">
        <x:f>E16*B30</x:f>
        <x:v>1053218.3908045976</x:v>
      </x:c>
    </x:row>
    <x:row r="19">
      <x:c r="B19" s="3"/>
    </x:row>
    <x:row r="20" ht="28.799999237060547">
      <x:c r="A20" s="7" t="s">
        <x:v>68</x:v>
      </x:c>
      <x:c r="B20" s="8" t="n">
        <x:f>+B8+B14</x:f>
        <x:v>1190000</x:v>
      </x:c>
    </x:row>
    <x:row r="22">
      <x:c r="A22" s="1" t="s">
        <x:v>69</x:v>
      </x:c>
      <x:c r="B22" s="11" t="n">
        <x:v>2</x:v>
      </x:c>
    </x:row>
    <x:row r="24">
      <x:c r="A24" s="15" t="s">
        <x:v>70</x:v>
      </x:c>
      <x:c r="B24" s="14" t="n">
        <x:f>IFERROR(B20/B22,0)</x:f>
        <x:v>595000</x:v>
      </x:c>
    </x:row>
    <x:row r="25">
      <x:c r="A25" s="1"/>
      <x:c r="B25" s="12"/>
    </x:row>
    <x:row r="26" ht="28.799999237060547">
      <x:c r="A26" s="5" t="s">
        <x:v>71</x:v>
      </x:c>
      <x:c r="B26" s="14" t="n">
        <x:f>IFERROR(B14/B22,0)</x:f>
        <x:v>350000</x:v>
      </x:c>
    </x:row>
    <x:row r="28">
      <x:c r="A28" s="1" t="s">
        <x:v>72</x:v>
      </x:c>
      <x:c r="B28" s="74" t="n">
        <x:v>0.1</x:v>
      </x:c>
    </x:row>
    <x:row r="30">
      <x:c r="A30" s="16" t="s">
        <x:v>73</x:v>
      </x:c>
      <x:c r="B30" s="10" t="n">
        <x:f>+B24*(1+B28)</x:f>
        <x:v>654500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40.21875" customWidth="1"/>
    <x:col min="2" max="2" width="3.77734375" customWidth="1"/>
    <x:col min="3" max="3" width="16.5546875" customWidth="1"/>
    <x:col min="5" max="5" width="3.5546875" customWidth="1"/>
  </x:cols>
  <x:sheetData>
    <x:row r="1" ht="15">
      <x:c r="A1" s="64" t="s">
        <x:v>0</x:v>
      </x:c>
      <x:c r="B1" s="65" t="str">
        <x:v>AqOne Profitable Case</x:v>
      </x:c>
      <x:c r="C1" s="65"/>
      <x:c r="D1" s="65"/>
      <x:c r="E1" s="71"/>
    </x:row>
    <x:row r="2">
      <x:c r="E2" s="41" t="s">
        <x:v>74</x:v>
      </x:c>
    </x:row>
    <x:row r="3" ht="21">
      <x:c r="A3" s="68"/>
      <x:c r="B3" s="69"/>
      <x:c r="C3" s="69"/>
      <x:c r="D3" s="70"/>
    </x:row>
    <x:row r="4" ht="18">
      <x:c r="A4" s="66" t="s">
        <x:v>75</x:v>
      </x:c>
      <x:c r="B4" s="66"/>
      <x:c r="C4" s="66"/>
    </x:row>
    <x:row r="5">
      <x:c r="A5" s="67" t="s">
        <x:v>38</x:v>
      </x:c>
      <x:c r="B5" s="67"/>
      <x:c r="C5" s="67"/>
      <x:c r="D5" s="67"/>
      <x:c r="E5" s="40"/>
    </x:row>
    <x:row r="7">
      <x:c r="A7" s="48" t="s">
        <x:v>76</x:v>
      </x:c>
      <x:c r="B7" s="1"/>
      <x:c r="C7" s="49"/>
    </x:row>
    <x:row r="8">
      <x:c r="A8" s="1" t="s">
        <x:v>53</x:v>
      </x:c>
      <x:c r="B8" s="16" t="s">
        <x:v>28</x:v>
      </x:c>
      <x:c r="C8" s="55" t="n">
        <x:f>iS!E38</x:f>
        <x:v>405000</x:v>
      </x:c>
    </x:row>
    <x:row r="9">
      <x:c r="A9" t="s">
        <x:v>77</x:v>
      </x:c>
      <x:c r="C9" s="55" t="n">
        <x:f>iS!D35</x:f>
        <x:v>25000</x:v>
      </x:c>
    </x:row>
    <x:row r="10">
      <x:c r="A10" s="1"/>
      <x:c r="C10" s="51" t="n">
        <x:f>SUM(C8:C9)</x:f>
        <x:v>430000</x:v>
      </x:c>
    </x:row>
    <x:row r="11">
      <x:c r="A11" s="1"/>
      <x:c r="C11" s="50"/>
    </x:row>
    <x:row r="12">
      <x:c r="A12" s="6" t="s">
        <x:v>78</x:v>
      </x:c>
    </x:row>
    <x:row r="13">
      <x:c r="A13" t="s">
        <x:v>79</x:v>
      </x:c>
      <x:c r="B13" s="1"/>
      <x:c r="C13" s="55" t="n">
        <x:v>0</x:v>
      </x:c>
    </x:row>
    <x:row r="14">
      <x:c r="A14" t="s">
        <x:v>80</x:v>
      </x:c>
      <x:c r="C14" s="55" t="n">
        <x:v>55000</x:v>
      </x:c>
    </x:row>
    <x:row r="15">
      <x:c r="A15" t="s">
        <x:v>81</x:v>
      </x:c>
      <x:c r="C15" s="56" t="n">
        <x:v>0</x:v>
      </x:c>
    </x:row>
    <x:row r="16">
      <x:c r="A16" t="s">
        <x:v>82</x:v>
      </x:c>
      <x:c r="C16" s="57" t="n">
        <x:v>0</x:v>
      </x:c>
    </x:row>
    <x:row r="17">
      <x:c r="A17" t="s">
        <x:v>83</x:v>
      </x:c>
      <x:c r="C17" s="57" t="n">
        <x:v>0</x:v>
      </x:c>
    </x:row>
    <x:row r="18">
      <x:c r="A18" t="s">
        <x:v>33</x:v>
      </x:c>
      <x:c r="C18" s="57" t="n">
        <x:v>164985</x:v>
      </x:c>
    </x:row>
    <x:row r="19">
      <x:c r="A19" t="s">
        <x:v>34</x:v>
      </x:c>
      <x:c r="C19" s="57" t="n">
        <x:v>0</x:v>
      </x:c>
    </x:row>
    <x:row r="20">
      <x:c r="A20" t="s">
        <x:v>84</x:v>
      </x:c>
      <x:c r="C20" s="57" t="n">
        <x:v>0</x:v>
      </x:c>
    </x:row>
    <x:row r="21">
      <x:c r="C21" s="52" t="n">
        <x:f>SUM(C13:C20)</x:f>
        <x:v>219985</x:v>
      </x:c>
    </x:row>
    <x:row r="23">
      <x:c r="A23" s="1" t="s">
        <x:v>85</x:v>
      </x:c>
    </x:row>
    <x:row r="24">
      <x:c r="A24" s="48" t="s">
        <x:v>86</x:v>
      </x:c>
      <x:c r="C24" s="50"/>
    </x:row>
    <x:row r="25">
      <x:c r="A25" t="s">
        <x:v>87</x:v>
      </x:c>
      <x:c r="C25" s="55" t="n">
        <x:f>('pre-operating'!F29+'pre-operating'!F31+'pre-operating'!F39)*1.05</x:f>
        <x:v>808448.55000084</x:v>
      </x:c>
    </x:row>
    <x:row r="26">
      <x:c r="A26" t="s">
        <x:v>88</x:v>
      </x:c>
      <x:c r="C26" s="55" t="n">
        <x:v>0</x:v>
      </x:c>
    </x:row>
    <x:row r="27">
      <x:c r="A27" t="s">
        <x:v>89</x:v>
      </x:c>
      <x:c r="C27" s="55" t="n">
        <x:v>0</x:v>
      </x:c>
    </x:row>
    <x:row r="28">
      <x:c r="A28" t="s">
        <x:v>90</x:v>
      </x:c>
      <x:c r="C28" s="55" t="n">
        <x:v>0</x:v>
      </x:c>
    </x:row>
    <x:row r="29">
      <x:c r="C29" s="51" t="n">
        <x:f>SUM(C25:C28)</x:f>
        <x:v>808448.55000084</x:v>
      </x:c>
    </x:row>
    <x:row r="30">
      <x:c r="A30" s="48" t="s">
        <x:v>91</x:v>
      </x:c>
      <x:c r="C30" s="53" t="n">
        <x:f>+C10+C29-C21</x:f>
        <x:v>1018463.5500008399</x:v>
      </x:c>
    </x:row>
    <x:row r="31">
      <x:c r="A31" t="s">
        <x:v>92</x:v>
      </x:c>
      <x:c r="C31" s="3" t="n">
        <x:v>0</x:v>
      </x:c>
    </x:row>
    <x:row r="32" ht="15">
      <x:c r="A32" s="1" t="s">
        <x:v>93</x:v>
      </x:c>
      <x:c r="B32" s="16" t="s">
        <x:v>28</x:v>
      </x:c>
      <x:c r="C32" s="54" t="n">
        <x:f>SUM(C30:C31)</x:f>
        <x:v>1018463.5500008399</x:v>
      </x:c>
    </x:row>
    <x:row r="33" ht="15">
      <x:c r="C33" s="50"/>
    </x:row>
  </x:sheetData>
  <x:mergeCells>
    <x:mergeCell ref="A4:C4"/>
    <x:mergeCell ref="A1:E1"/>
    <x:mergeCell ref="A3:D3"/>
    <x:mergeCell ref="A5:D5"/>
  </x:mergeCells>
  <x:pageMargins left="0.7" right="0.7" top="0.75" bottom="0.75" header="0.3" footer="0.3"/>
</x:worksheet>
</file>